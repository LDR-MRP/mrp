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ta Sanchez\Downloads\"/>
    </mc:Choice>
  </mc:AlternateContent>
  <xr:revisionPtr revIDLastSave="0" documentId="8_{0BA3DE4E-739D-46F4-B6B7-37B3B9068A46}" xr6:coauthVersionLast="47" xr6:coauthVersionMax="47" xr10:uidLastSave="{00000000-0000-0000-0000-000000000000}"/>
  <bookViews>
    <workbookView xWindow="-110" yWindow="-110" windowWidth="19420" windowHeight="11500" activeTab="1" xr2:uid="{9C9AC3C0-0D03-479A-BA8B-3C214B02AD87}"/>
  </bookViews>
  <sheets>
    <sheet name="Semana 41" sheetId="1" r:id="rId1"/>
    <sheet name="Hoja1" sheetId="2" r:id="rId2"/>
  </sheets>
  <definedNames>
    <definedName name="_xlnm._FilterDatabase" localSheetId="1" hidden="1">Hoja1!$A$1:$L$9</definedName>
    <definedName name="_xlnm._FilterDatabase" localSheetId="0" hidden="1">'Semana 41'!$A$1:$L$88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7" i="2" l="1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K37" i="2"/>
  <c r="K38" i="2"/>
  <c r="K39" i="2"/>
  <c r="K40" i="2"/>
  <c r="K41" i="2"/>
  <c r="K42" i="2"/>
  <c r="K43" i="2"/>
  <c r="K36" i="2"/>
  <c r="K44" i="2"/>
  <c r="I31" i="2"/>
  <c r="I30" i="2"/>
  <c r="I29" i="2"/>
  <c r="I28" i="2"/>
  <c r="I27" i="2"/>
  <c r="I26" i="2"/>
  <c r="I25" i="2"/>
  <c r="I24" i="2"/>
  <c r="I17" i="2"/>
  <c r="I18" i="2"/>
  <c r="I19" i="2"/>
  <c r="I20" i="2"/>
  <c r="I21" i="2"/>
  <c r="I22" i="2"/>
  <c r="I23" i="2"/>
  <c r="I16" i="2"/>
  <c r="I32" i="2" s="1"/>
  <c r="K9" i="2"/>
  <c r="K8" i="2"/>
  <c r="K7" i="2"/>
  <c r="K6" i="2"/>
  <c r="K5" i="2"/>
  <c r="K4" i="2"/>
  <c r="K3" i="2"/>
  <c r="K2" i="2"/>
  <c r="K10" i="2" s="1"/>
  <c r="K18" i="1"/>
  <c r="K17" i="1"/>
  <c r="K16" i="1"/>
  <c r="K15" i="1"/>
  <c r="K14" i="1"/>
  <c r="K13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<sst xmlns="http://schemas.openxmlformats.org/spreadsheetml/2006/main" count="1091" uniqueCount="244">
  <si>
    <t>ESTATUS</t>
  </si>
  <si>
    <t>DISTRIBUIDOR</t>
  </si>
  <si>
    <t>VIN</t>
  </si>
  <si>
    <t>MODELO</t>
  </si>
  <si>
    <t>ORIGEN</t>
  </si>
  <si>
    <t>DESTINO</t>
  </si>
  <si>
    <t>TIPO DE SERVICIO</t>
  </si>
  <si>
    <t>TRANSPORTISTA</t>
  </si>
  <si>
    <t>Km2</t>
  </si>
  <si>
    <t>COSTO X KM</t>
  </si>
  <si>
    <t>COSTO TOTAL</t>
  </si>
  <si>
    <t>OBSERVACIONES</t>
  </si>
  <si>
    <t>FECHA PROGRAMADA DE SALIDA</t>
  </si>
  <si>
    <t>Entregado</t>
  </si>
  <si>
    <t>AUTOS Y CAMIONES ASIA CENTRAL</t>
  </si>
  <si>
    <t>3LD42A1M5VA000164</t>
  </si>
  <si>
    <t>TM3 1.6L</t>
  </si>
  <si>
    <t>PLANTA 3 TLAJOMULCO</t>
  </si>
  <si>
    <t>FOTON SAN LUIS</t>
  </si>
  <si>
    <t>MADRINA</t>
  </si>
  <si>
    <t>TEROMO</t>
  </si>
  <si>
    <t>$ 28,00</t>
  </si>
  <si>
    <t>$ 11.116,00</t>
  </si>
  <si>
    <t>ARG BROKER</t>
  </si>
  <si>
    <t>3LDC1A2F9TA000535</t>
  </si>
  <si>
    <t>Tunland G7 MT Gasolina</t>
  </si>
  <si>
    <t>ALMACEN GDL</t>
  </si>
  <si>
    <t>FOTON ALTAMIRA</t>
  </si>
  <si>
    <t>$ 22.400,00</t>
  </si>
  <si>
    <t>3LDC1A2F1TA000593</t>
  </si>
  <si>
    <t>PLANTA</t>
  </si>
  <si>
    <t>$ 17.080,00</t>
  </si>
  <si>
    <t>XIAN MOTORS</t>
  </si>
  <si>
    <t>LVAV2MAB2SU306224</t>
  </si>
  <si>
    <t>Tunland V7 (MHEV)</t>
  </si>
  <si>
    <t>Transito</t>
  </si>
  <si>
    <t>GAD VEHICULOS COMERCIALES</t>
  </si>
  <si>
    <t>3LDC2A2F7TA001826</t>
  </si>
  <si>
    <t>Tunland V7 gasolina 4X2</t>
  </si>
  <si>
    <t>FOTON ZACATECAS</t>
  </si>
  <si>
    <t>$ 25,00</t>
  </si>
  <si>
    <t>$ 10.075,00</t>
  </si>
  <si>
    <t>VELCEN MOTORS</t>
  </si>
  <si>
    <t>LVAV2MVB2SU313443</t>
  </si>
  <si>
    <t>FOTON APODACA</t>
  </si>
  <si>
    <t>$ 20.800,00</t>
  </si>
  <si>
    <t>LVAV2MVB7SU313471</t>
  </si>
  <si>
    <t>LVAV2MVB3SU313449</t>
  </si>
  <si>
    <t>LVAV2MVB9SU313469</t>
  </si>
  <si>
    <t>Programado</t>
  </si>
  <si>
    <t>CAMIONES PREMIUM DEL CENTRO</t>
  </si>
  <si>
    <t>3LDA2A2F6TA002571</t>
  </si>
  <si>
    <t>VIEW CS2 Pasajeros</t>
  </si>
  <si>
    <t>FOTON QUERETARO</t>
  </si>
  <si>
    <t>PLATAFORMA</t>
  </si>
  <si>
    <t>DIFFUR</t>
  </si>
  <si>
    <t>$ 26,66</t>
  </si>
  <si>
    <t>$ 6.638,34</t>
  </si>
  <si>
    <t>3LDA2A2F7TA002577</t>
  </si>
  <si>
    <t>3LDA2A2F3TA002608</t>
  </si>
  <si>
    <t>VEHICULOS COMERCIALES PENINSULA</t>
  </si>
  <si>
    <t>3LD34B4JXTA000333</t>
  </si>
  <si>
    <t>EST-A 6X4 X13-E6</t>
  </si>
  <si>
    <t>GALLEGO PLANTA TRAILERS MANILA</t>
  </si>
  <si>
    <t>RODANDO</t>
  </si>
  <si>
    <t>LIVETRANSFER</t>
  </si>
  <si>
    <t>3LDA2B2FXVA000024</t>
  </si>
  <si>
    <t>HiVan Pasajeros</t>
  </si>
  <si>
    <t>FOTON SLP</t>
  </si>
  <si>
    <t>AUTOMOTIVE</t>
  </si>
  <si>
    <t>$ 40,00</t>
  </si>
  <si>
    <t>$ 6.400,00</t>
  </si>
  <si>
    <t>3LDA2B2F1VA000025</t>
  </si>
  <si>
    <t>3LDA2B2F7VA000028</t>
  </si>
  <si>
    <t>CLINICAR</t>
  </si>
  <si>
    <t>$ 45,00</t>
  </si>
  <si>
    <t>$ 7.200,00</t>
  </si>
  <si>
    <t>3LDA2B2F9VA000029</t>
  </si>
  <si>
    <t>3LDA2B2F5VA000030</t>
  </si>
  <si>
    <t>3LDA2B2F0VA000033</t>
  </si>
  <si>
    <t>3LDA2B2F4VA000035</t>
  </si>
  <si>
    <t>3LDA2B2F8VA000037</t>
  </si>
  <si>
    <t>3LDA2B2F3VA000043</t>
  </si>
  <si>
    <t>3LDA2B2F5VA000044</t>
  </si>
  <si>
    <t>3LDA2B2F4VA000049</t>
  </si>
  <si>
    <t>3LD42A1M4VA000141</t>
  </si>
  <si>
    <t>FOTON MERIDA</t>
  </si>
  <si>
    <t>3LD42A1M6VA000142</t>
  </si>
  <si>
    <t>3LD42A1M8VA000143</t>
  </si>
  <si>
    <t>3LD42A1MXVA000144</t>
  </si>
  <si>
    <t>ALMACEN GDL (XIAN)</t>
  </si>
  <si>
    <t>LOCAL CORTO</t>
  </si>
  <si>
    <t>$ 3.850,00</t>
  </si>
  <si>
    <t>3LD42A1M7VA000148</t>
  </si>
  <si>
    <t>FOTON CANCUN</t>
  </si>
  <si>
    <t>3LD42A1M2VA000154</t>
  </si>
  <si>
    <t>3LD42A1M4VA000155</t>
  </si>
  <si>
    <t>3LD42A1M3VA000163</t>
  </si>
  <si>
    <t>BUILT 2 WORK MOTORS</t>
  </si>
  <si>
    <t>3LD42A1M9VA000166</t>
  </si>
  <si>
    <t>FOTON TOLUCA</t>
  </si>
  <si>
    <t>3LD42A1M7VA000151</t>
  </si>
  <si>
    <t>3LD42A1M4VA000169</t>
  </si>
  <si>
    <t>3LD42A1M2VA000171</t>
  </si>
  <si>
    <t>3LD42A1M6VA000173</t>
  </si>
  <si>
    <t>FOTON XIAN</t>
  </si>
  <si>
    <t>CAMIONES METROPOLITANOS DEL VALLE</t>
  </si>
  <si>
    <t>3LD12B2J0VA000201</t>
  </si>
  <si>
    <t>S3-E6 MT</t>
  </si>
  <si>
    <t>FOTON TLALNEPANTLA</t>
  </si>
  <si>
    <t>$ 18,00</t>
  </si>
  <si>
    <t>$ 7.326,00</t>
  </si>
  <si>
    <t>3LD12B2J4VA000203</t>
  </si>
  <si>
    <t>CARROCERIA AGUIRRE</t>
  </si>
  <si>
    <t>$ 12.114,00</t>
  </si>
  <si>
    <t>3LD12B2J0VA000215</t>
  </si>
  <si>
    <t>FOTON MONTERREY</t>
  </si>
  <si>
    <t>$ 12.294,00</t>
  </si>
  <si>
    <t>3LD12B2J6VA000221</t>
  </si>
  <si>
    <t>3LD12B2JXVA000206</t>
  </si>
  <si>
    <t>CAR FLEET</t>
  </si>
  <si>
    <t>3LD12B2J1VA000207</t>
  </si>
  <si>
    <t>3LD12B2J5VA000209</t>
  </si>
  <si>
    <t>3LD12B2J1VA000210</t>
  </si>
  <si>
    <t>3LD12B2J3VA000225</t>
  </si>
  <si>
    <t>3LD12B2J7VA000213</t>
  </si>
  <si>
    <t>3LD12B2J6VA000218</t>
  </si>
  <si>
    <t>TRASLADOS SACBE</t>
  </si>
  <si>
    <t>3LD12B2J2VA000216</t>
  </si>
  <si>
    <t>3LD12B2J4VA000217</t>
  </si>
  <si>
    <t>$ 8.100,00</t>
  </si>
  <si>
    <t>3LD12B2J6VA000204</t>
  </si>
  <si>
    <t>3LD12B2J3VA000211</t>
  </si>
  <si>
    <t>3LD12B2J1VA000224</t>
  </si>
  <si>
    <t>3LD12B2J7VA000227</t>
  </si>
  <si>
    <t>ECO TRUCKS</t>
  </si>
  <si>
    <t>3LD13B2J3VA000111</t>
  </si>
  <si>
    <t>S6-E6 MT</t>
  </si>
  <si>
    <t>FOTON CHINA POBLANA</t>
  </si>
  <si>
    <t>$ 9.810,00</t>
  </si>
  <si>
    <t>3LD13B2J6VA000118</t>
  </si>
  <si>
    <t>FOTON GONZALEZ GALLO</t>
  </si>
  <si>
    <t>$ 3.204,00</t>
  </si>
  <si>
    <t>3LD13B2J6VA000121</t>
  </si>
  <si>
    <t>3LD13B2J8VA000122</t>
  </si>
  <si>
    <t>$ 4.482,00</t>
  </si>
  <si>
    <t>AUTOS EMCG</t>
  </si>
  <si>
    <t>3LD13B2J7VA000130</t>
  </si>
  <si>
    <t>FOTON PUEBLA (ASTURCAR)</t>
  </si>
  <si>
    <t>$ 9.792,00</t>
  </si>
  <si>
    <t>3LD13B2J9VA000131</t>
  </si>
  <si>
    <t>Carrocerías y Remolques Israel</t>
  </si>
  <si>
    <t>$ 7.650,00</t>
  </si>
  <si>
    <t>3LD13B2J4VA000134</t>
  </si>
  <si>
    <t>CAMIONES INNOVADORES DEL PACIFICO</t>
  </si>
  <si>
    <t>3LD13B2J1VA000138</t>
  </si>
  <si>
    <t>FOTON TEPIC</t>
  </si>
  <si>
    <t>$ 6.750,00</t>
  </si>
  <si>
    <t>GRUPO CARROCERO MILENIO</t>
  </si>
  <si>
    <t>3LD24B3J8VA000606</t>
  </si>
  <si>
    <t>EST-S38 / AMT 6X4</t>
  </si>
  <si>
    <t>FOTON TULA</t>
  </si>
  <si>
    <t>3LD34B4J5SA001341</t>
  </si>
  <si>
    <t>EST-A 6X4</t>
  </si>
  <si>
    <t>$ 15.250,00</t>
  </si>
  <si>
    <t>SIN FACTURA</t>
  </si>
  <si>
    <t>LRDS6PFB1SR016818</t>
  </si>
  <si>
    <t>GALAXUS</t>
  </si>
  <si>
    <t>MOON PALACE ARENA</t>
  </si>
  <si>
    <t>N/A</t>
  </si>
  <si>
    <t>397 CAP</t>
  </si>
  <si>
    <t>3LD34B4J8TA000265</t>
  </si>
  <si>
    <t>MexAmerik Teoloyucan
Av. Lumbreras, Santa Cruz del Monte, 54786 Teoloyucan, Méx.
https://maps.app.goo.gl/keeRuYrVapcUMYN26 Víctor Carbajal. Tel.: 55 6318 7023</t>
  </si>
  <si>
    <t>3LDC1A2FXTA000463</t>
  </si>
  <si>
    <t>Patio MotorNation Calle oriente s/n ,CP 52045, Salazar, Edo Méx</t>
  </si>
  <si>
    <t>$ 23.175,00</t>
  </si>
  <si>
    <t>CAMIONES ORIENTALES DE LEON</t>
  </si>
  <si>
    <t>3LDC1A2F8TA000509</t>
  </si>
  <si>
    <t>Monterrey (AV VASCONCELOS 660 OTE. COL VALLE DEL CAMPESTRE CP 66265)</t>
  </si>
  <si>
    <t>FOTON LEON</t>
  </si>
  <si>
    <t>$ 32.085,00</t>
  </si>
  <si>
    <t>3LDC1A2F5TA000502</t>
  </si>
  <si>
    <t>Tijuana (Av. Padre Kino No.10102 interior 1-2-3 , colonia Zona Urbana Rio Tijuana, Cp 22010.)</t>
  </si>
  <si>
    <t>LEASING DRIVE RENTAL</t>
  </si>
  <si>
    <t>3LD34B4J2SA001717</t>
  </si>
  <si>
    <t>Galaxy 3256</t>
  </si>
  <si>
    <t>Transportes Forja (TAV)</t>
  </si>
  <si>
    <t>3LD34B4J6TA000331</t>
  </si>
  <si>
    <t>FERTILIZANTES TEPEYAC</t>
  </si>
  <si>
    <t>LVAV2MAB1SU306232</t>
  </si>
  <si>
    <t>FOTON LEÓN</t>
  </si>
  <si>
    <t>3LD12B2J5TA001504</t>
  </si>
  <si>
    <t>FOTON CUERNAVACA</t>
  </si>
  <si>
    <t>$ 9.108,00</t>
  </si>
  <si>
    <t>3LD12B2J5TA001566</t>
  </si>
  <si>
    <t>FOTON TLAXCALA</t>
  </si>
  <si>
    <t>$ 11.610,00</t>
  </si>
  <si>
    <t>3LD12B2J8TA001495</t>
  </si>
  <si>
    <t>3LDC2B2F2TA000962</t>
  </si>
  <si>
    <t>Tunland V9 (MHEV)</t>
  </si>
  <si>
    <t>CD. DE MEXICO</t>
  </si>
  <si>
    <t>GENERADOR</t>
  </si>
  <si>
    <t>REMOLQUE</t>
  </si>
  <si>
    <t>GUADALAJARA</t>
  </si>
  <si>
    <t>$ 4.320,00</t>
  </si>
  <si>
    <t>$ 63.225,00</t>
  </si>
  <si>
    <t>LRDS6PFB1SR016821</t>
  </si>
  <si>
    <t>3LD34B4J7SA001289</t>
  </si>
  <si>
    <t>3LD34B4J8SA001317</t>
  </si>
  <si>
    <t>LVCB3SCD7RM001175</t>
  </si>
  <si>
    <t>AUV BJ6931-GNC</t>
  </si>
  <si>
    <t>https://maps.app.goo.gl/HdP335E6QpvKrcKs6</t>
  </si>
  <si>
    <t>$ 1.440,00</t>
  </si>
  <si>
    <t>CAMIONES Y TRACTOCAMIONES DE SONORA</t>
  </si>
  <si>
    <t>3LD34B4J8TA000346</t>
  </si>
  <si>
    <t>FOTON HERMOSILLO</t>
  </si>
  <si>
    <t>$ 38.500,00</t>
  </si>
  <si>
    <t>3LD34B4J0TA000244</t>
  </si>
  <si>
    <t>3LD34B4JXTA000249</t>
  </si>
  <si>
    <t>3LD34B4J3TA000254</t>
  </si>
  <si>
    <t>3LD34B4J7TA000290</t>
  </si>
  <si>
    <t>IMMMEX</t>
  </si>
  <si>
    <t>Pendiente</t>
  </si>
  <si>
    <t>No se puede generar el envío debido a que no hay datos en la plataforma que se requieren, para continuar con el proceso</t>
  </si>
  <si>
    <t>No se puede coontinuar con la programación, debido que no estan correctos los datos de destino asi como dado de alta el distribuidor.</t>
  </si>
  <si>
    <t>No tego dado de alta el cliente de dodnde se recolectó la unidad</t>
  </si>
  <si>
    <t>No se tiene dado de alta la dirección de recolección de la unidad</t>
  </si>
  <si>
    <t>No se tiene dado de alta la dirección de entrega de la unidad</t>
  </si>
  <si>
    <t>No se puede realizar el envío ya que los KM no se estan tomando en cuenta de la forma actual de la operación</t>
  </si>
  <si>
    <t>No se puede actualizar por que el proveerdor subcontrata los equipos, y se cuentan al momento de la carga con dichos datos</t>
  </si>
  <si>
    <t>El vin  no se puede asignar al operador que realizo el movimiento. Por lo que no se puede continuar con el proceso</t>
  </si>
  <si>
    <t>PROFESIONAL EN SERVICIO Y DIAGNOSTICO</t>
  </si>
  <si>
    <t>LVAV2JVB9SE300519</t>
  </si>
  <si>
    <t>FOTON OAXACA</t>
  </si>
  <si>
    <t>LVAV2JVB0SE300392</t>
  </si>
  <si>
    <t>LVAV2JVB1SE300529</t>
  </si>
  <si>
    <t>FOTON TAPACHULA</t>
  </si>
  <si>
    <t>LVAV2JVB7SE300566</t>
  </si>
  <si>
    <t>LVAV2JVB5SE300436</t>
  </si>
  <si>
    <t>FOTON VILLAHERMOSA</t>
  </si>
  <si>
    <t>LVAV2JVB4SE300427</t>
  </si>
  <si>
    <t>LVAV2JVB0SE300523</t>
  </si>
  <si>
    <t>FOTON TUXTLA</t>
  </si>
  <si>
    <t>LVAV2JVB2SE300524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</si>
</sst>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Verdana"/>
      <family val="2"/>
    </font>
    <font>
      <sz val="10"/>
      <color rgb="FF1A1A1A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2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44" fontId="0" fillId="0" borderId="0" xfId="1" applyFont="1"/>
    <xf numFmtId="0" fontId="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6" fillId="3" borderId="1" xfId="2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0" fillId="3" borderId="0" xfId="0" applyFill="1"/>
    <xf numFmtId="44" fontId="5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4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4" fontId="9" fillId="4" borderId="1" xfId="0" applyNumberFormat="1" applyFont="1" applyFill="1" applyBorder="1"/>
    <xf numFmtId="0" fontId="2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44" fontId="5" fillId="5" borderId="12" xfId="1" applyFont="1" applyFill="1" applyBorder="1" applyAlignment="1">
      <alignment horizontal="center" vertical="center" wrapText="1"/>
    </xf>
    <xf numFmtId="44" fontId="3" fillId="5" borderId="12" xfId="1" applyFont="1" applyFill="1" applyBorder="1" applyAlignment="1">
      <alignment horizontal="center" vertical="center" wrapText="1"/>
    </xf>
    <xf numFmtId="44" fontId="9" fillId="4" borderId="0" xfId="1" applyFont="1" applyFill="1"/>
    <xf numFmtId="44" fontId="9" fillId="4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44" fontId="5" fillId="5" borderId="1" xfId="1" applyFont="1" applyFill="1" applyBorder="1" applyAlignment="1">
      <alignment horizontal="center" vertical="center" wrapText="1"/>
    </xf>
    <xf numFmtId="44" fontId="3" fillId="5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4" fontId="3" fillId="5" borderId="1" xfId="1" applyNumberFormat="1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url?q=https://www.google.com/maps/search/Tijuana%2B(Av.%2BPadre%2BKino%2BNo.10102%2Binterior%2B1?entry%3Dgmail%26source%3Dg&amp;source=gmail-imap&amp;ust=1791324979000000&amp;usg=AOvVaw0UIPji4YFZxUM4l3x5x3qw" TargetMode="External"/><Relationship Id="rId2" Type="http://schemas.openxmlformats.org/officeDocument/2006/relationships/hyperlink" Target="https://www.google.com/url?q=https://www.google.com/maps/search/Monterrey%25C2%25A0%2B(AV%2BVASCONCELOS%2B660?entry%3Dgmail%26source%3Dg&amp;source=gmail-imap&amp;ust=1791324979000000&amp;usg=AOvVaw3FweRPNnTxFIf5iYDgSMSF" TargetMode="External"/><Relationship Id="rId1" Type="http://schemas.openxmlformats.org/officeDocument/2006/relationships/hyperlink" Target="https://maps.app.goo.gl/keeRuYrVapcUMYN26" TargetMode="External"/><Relationship Id="rId5" Type="http://schemas.openxmlformats.org/officeDocument/2006/relationships/hyperlink" Target="https://maps.app.goo.gl/HdP335E6QpvKrcKs6" TargetMode="External"/><Relationship Id="rId4" Type="http://schemas.openxmlformats.org/officeDocument/2006/relationships/hyperlink" Target="https://maps.app.goo.gl/TpELmNBvHQ2Fja6c8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44B7-9F50-418F-A28C-388C1BB12BF9}">
  <dimension ref="A1:M88"/>
  <sheetViews>
    <sheetView topLeftCell="F10" zoomScale="80" zoomScaleNormal="80" workbookViewId="0">
      <selection sqref="A1:L18"/>
    </sheetView>
  </sheetViews>
  <sheetFormatPr baseColWidth="10" defaultRowHeight="14.5" x14ac:dyDescent="0.35"/>
  <cols>
    <col min="1" max="1" width="13.26953125" bestFit="1" customWidth="1"/>
    <col min="2" max="2" width="34.81640625" bestFit="1" customWidth="1"/>
    <col min="3" max="3" width="17.6328125" bestFit="1" customWidth="1"/>
    <col min="4" max="4" width="19.7265625" bestFit="1" customWidth="1"/>
    <col min="5" max="5" width="41.26953125" customWidth="1"/>
    <col min="6" max="6" width="28.36328125" bestFit="1" customWidth="1"/>
    <col min="10" max="11" width="10.90625" style="9"/>
    <col min="12" max="12" width="26.36328125" bestFit="1" customWidth="1"/>
    <col min="13" max="13" width="59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1" t="s">
        <v>12</v>
      </c>
      <c r="M1" s="16" t="s">
        <v>11</v>
      </c>
    </row>
    <row r="2" spans="1:13" ht="29" x14ac:dyDescent="0.35">
      <c r="A2" s="10" t="s">
        <v>13</v>
      </c>
      <c r="B2" s="11" t="s">
        <v>60</v>
      </c>
      <c r="C2" s="11" t="s">
        <v>61</v>
      </c>
      <c r="D2" s="11" t="s">
        <v>62</v>
      </c>
      <c r="E2" s="12" t="s">
        <v>30</v>
      </c>
      <c r="F2" s="11" t="s">
        <v>63</v>
      </c>
      <c r="G2" s="11" t="s">
        <v>64</v>
      </c>
      <c r="H2" s="11" t="s">
        <v>65</v>
      </c>
      <c r="I2" s="12">
        <v>602</v>
      </c>
      <c r="J2" s="13">
        <v>25</v>
      </c>
      <c r="K2" s="14">
        <f t="shared" ref="K2:K11" si="0">I2*J2</f>
        <v>15050</v>
      </c>
      <c r="L2" s="15">
        <v>46300</v>
      </c>
      <c r="M2" s="33" t="s">
        <v>223</v>
      </c>
    </row>
    <row r="3" spans="1:13" ht="29" x14ac:dyDescent="0.35">
      <c r="A3" s="17" t="s">
        <v>13</v>
      </c>
      <c r="B3" s="11" t="s">
        <v>60</v>
      </c>
      <c r="C3" s="11" t="s">
        <v>85</v>
      </c>
      <c r="D3" s="11" t="s">
        <v>16</v>
      </c>
      <c r="E3" s="11" t="s">
        <v>17</v>
      </c>
      <c r="F3" s="11" t="s">
        <v>86</v>
      </c>
      <c r="G3" s="11" t="s">
        <v>19</v>
      </c>
      <c r="H3" s="11" t="s">
        <v>20</v>
      </c>
      <c r="I3" s="12">
        <v>1891</v>
      </c>
      <c r="J3" s="13">
        <v>20</v>
      </c>
      <c r="K3" s="14">
        <f t="shared" si="0"/>
        <v>37820</v>
      </c>
      <c r="L3" s="15">
        <v>46300</v>
      </c>
      <c r="M3" s="33" t="s">
        <v>228</v>
      </c>
    </row>
    <row r="4" spans="1:13" ht="29" x14ac:dyDescent="0.35">
      <c r="A4" s="17" t="s">
        <v>13</v>
      </c>
      <c r="B4" s="11" t="s">
        <v>60</v>
      </c>
      <c r="C4" s="11" t="s">
        <v>87</v>
      </c>
      <c r="D4" s="11" t="s">
        <v>16</v>
      </c>
      <c r="E4" s="11" t="s">
        <v>17</v>
      </c>
      <c r="F4" s="11" t="s">
        <v>86</v>
      </c>
      <c r="G4" s="11" t="s">
        <v>19</v>
      </c>
      <c r="H4" s="11" t="s">
        <v>20</v>
      </c>
      <c r="I4" s="12">
        <v>1891</v>
      </c>
      <c r="J4" s="13">
        <v>20</v>
      </c>
      <c r="K4" s="14">
        <f t="shared" si="0"/>
        <v>37820</v>
      </c>
      <c r="L4" s="15">
        <v>46300</v>
      </c>
      <c r="M4" s="33" t="s">
        <v>228</v>
      </c>
    </row>
    <row r="5" spans="1:13" ht="29" x14ac:dyDescent="0.35">
      <c r="A5" s="17" t="s">
        <v>13</v>
      </c>
      <c r="B5" s="11" t="s">
        <v>60</v>
      </c>
      <c r="C5" s="11" t="s">
        <v>88</v>
      </c>
      <c r="D5" s="11" t="s">
        <v>16</v>
      </c>
      <c r="E5" s="11" t="s">
        <v>17</v>
      </c>
      <c r="F5" s="11" t="s">
        <v>86</v>
      </c>
      <c r="G5" s="11" t="s">
        <v>19</v>
      </c>
      <c r="H5" s="11" t="s">
        <v>20</v>
      </c>
      <c r="I5" s="12">
        <v>1891</v>
      </c>
      <c r="J5" s="13">
        <v>20</v>
      </c>
      <c r="K5" s="14">
        <f t="shared" si="0"/>
        <v>37820</v>
      </c>
      <c r="L5" s="15">
        <v>46300</v>
      </c>
      <c r="M5" s="33" t="s">
        <v>228</v>
      </c>
    </row>
    <row r="6" spans="1:13" ht="29" x14ac:dyDescent="0.35">
      <c r="A6" s="17" t="s">
        <v>13</v>
      </c>
      <c r="B6" s="11" t="s">
        <v>60</v>
      </c>
      <c r="C6" s="11" t="s">
        <v>93</v>
      </c>
      <c r="D6" s="11" t="s">
        <v>16</v>
      </c>
      <c r="E6" s="11" t="s">
        <v>17</v>
      </c>
      <c r="F6" s="11" t="s">
        <v>94</v>
      </c>
      <c r="G6" s="11" t="s">
        <v>19</v>
      </c>
      <c r="H6" s="11" t="s">
        <v>20</v>
      </c>
      <c r="I6" s="12">
        <v>2241</v>
      </c>
      <c r="J6" s="13">
        <v>20</v>
      </c>
      <c r="K6" s="14">
        <f t="shared" si="0"/>
        <v>44820</v>
      </c>
      <c r="L6" s="15">
        <v>46300</v>
      </c>
      <c r="M6" s="33" t="s">
        <v>228</v>
      </c>
    </row>
    <row r="7" spans="1:13" ht="29" x14ac:dyDescent="0.35">
      <c r="A7" s="17" t="s">
        <v>13</v>
      </c>
      <c r="B7" s="11" t="s">
        <v>60</v>
      </c>
      <c r="C7" s="11" t="s">
        <v>95</v>
      </c>
      <c r="D7" s="11" t="s">
        <v>16</v>
      </c>
      <c r="E7" s="11" t="s">
        <v>17</v>
      </c>
      <c r="F7" s="11" t="s">
        <v>94</v>
      </c>
      <c r="G7" s="11" t="s">
        <v>19</v>
      </c>
      <c r="H7" s="11" t="s">
        <v>20</v>
      </c>
      <c r="I7" s="12">
        <v>2241</v>
      </c>
      <c r="J7" s="13">
        <v>20</v>
      </c>
      <c r="K7" s="14">
        <f t="shared" si="0"/>
        <v>44820</v>
      </c>
      <c r="L7" s="15">
        <v>46300</v>
      </c>
      <c r="M7" s="33" t="s">
        <v>228</v>
      </c>
    </row>
    <row r="8" spans="1:13" ht="29" x14ac:dyDescent="0.35">
      <c r="A8" s="17" t="s">
        <v>13</v>
      </c>
      <c r="B8" s="11" t="s">
        <v>60</v>
      </c>
      <c r="C8" s="11" t="s">
        <v>96</v>
      </c>
      <c r="D8" s="11" t="s">
        <v>16</v>
      </c>
      <c r="E8" s="11" t="s">
        <v>17</v>
      </c>
      <c r="F8" s="11" t="s">
        <v>86</v>
      </c>
      <c r="G8" s="11" t="s">
        <v>19</v>
      </c>
      <c r="H8" s="11" t="s">
        <v>20</v>
      </c>
      <c r="I8" s="12">
        <v>1891</v>
      </c>
      <c r="J8" s="13">
        <v>20</v>
      </c>
      <c r="K8" s="14">
        <f t="shared" si="0"/>
        <v>37820</v>
      </c>
      <c r="L8" s="15">
        <v>46300</v>
      </c>
      <c r="M8" s="33" t="s">
        <v>228</v>
      </c>
    </row>
    <row r="9" spans="1:13" ht="29" x14ac:dyDescent="0.35">
      <c r="A9" s="17" t="s">
        <v>13</v>
      </c>
      <c r="B9" s="11" t="s">
        <v>98</v>
      </c>
      <c r="C9" s="11" t="s">
        <v>99</v>
      </c>
      <c r="D9" s="11" t="s">
        <v>16</v>
      </c>
      <c r="E9" s="11" t="s">
        <v>17</v>
      </c>
      <c r="F9" s="11" t="s">
        <v>100</v>
      </c>
      <c r="G9" s="11" t="s">
        <v>19</v>
      </c>
      <c r="H9" s="11" t="s">
        <v>20</v>
      </c>
      <c r="I9" s="12">
        <v>533</v>
      </c>
      <c r="J9" s="13">
        <v>20</v>
      </c>
      <c r="K9" s="14">
        <f t="shared" si="0"/>
        <v>10660</v>
      </c>
      <c r="L9" s="15">
        <v>46300</v>
      </c>
      <c r="M9" s="33" t="s">
        <v>228</v>
      </c>
    </row>
    <row r="10" spans="1:13" ht="29" x14ac:dyDescent="0.35">
      <c r="A10" s="17" t="s">
        <v>13</v>
      </c>
      <c r="B10" s="11" t="s">
        <v>98</v>
      </c>
      <c r="C10" s="11" t="s">
        <v>101</v>
      </c>
      <c r="D10" s="11" t="s">
        <v>16</v>
      </c>
      <c r="E10" s="11" t="s">
        <v>17</v>
      </c>
      <c r="F10" s="11" t="s">
        <v>100</v>
      </c>
      <c r="G10" s="11" t="s">
        <v>19</v>
      </c>
      <c r="H10" s="11" t="s">
        <v>20</v>
      </c>
      <c r="I10" s="12">
        <v>533</v>
      </c>
      <c r="J10" s="13">
        <v>20</v>
      </c>
      <c r="K10" s="14">
        <f t="shared" si="0"/>
        <v>10660</v>
      </c>
      <c r="L10" s="15">
        <v>46300</v>
      </c>
      <c r="M10" s="33" t="s">
        <v>228</v>
      </c>
    </row>
    <row r="11" spans="1:13" ht="29" x14ac:dyDescent="0.35">
      <c r="A11" s="17" t="s">
        <v>13</v>
      </c>
      <c r="B11" s="11" t="s">
        <v>158</v>
      </c>
      <c r="C11" s="11" t="s">
        <v>159</v>
      </c>
      <c r="D11" s="11" t="s">
        <v>160</v>
      </c>
      <c r="E11" s="12" t="s">
        <v>30</v>
      </c>
      <c r="F11" s="12" t="s">
        <v>161</v>
      </c>
      <c r="G11" s="12" t="s">
        <v>64</v>
      </c>
      <c r="H11" s="12" t="s">
        <v>65</v>
      </c>
      <c r="I11" s="12">
        <v>439</v>
      </c>
      <c r="J11" s="13">
        <v>25</v>
      </c>
      <c r="K11" s="14">
        <f t="shared" si="0"/>
        <v>10975</v>
      </c>
      <c r="L11" s="15">
        <v>46300</v>
      </c>
      <c r="M11" s="33" t="s">
        <v>230</v>
      </c>
    </row>
    <row r="12" spans="1:13" ht="29" x14ac:dyDescent="0.35">
      <c r="A12" s="17" t="s">
        <v>13</v>
      </c>
      <c r="B12" s="11" t="s">
        <v>165</v>
      </c>
      <c r="C12" s="11" t="s">
        <v>166</v>
      </c>
      <c r="D12" s="11" t="s">
        <v>167</v>
      </c>
      <c r="E12" s="12" t="s">
        <v>94</v>
      </c>
      <c r="F12" s="12" t="s">
        <v>168</v>
      </c>
      <c r="G12" s="12" t="s">
        <v>64</v>
      </c>
      <c r="H12" s="12" t="s">
        <v>65</v>
      </c>
      <c r="I12" s="12" t="s">
        <v>169</v>
      </c>
      <c r="J12" s="13" t="s">
        <v>169</v>
      </c>
      <c r="K12" s="14" t="s">
        <v>169</v>
      </c>
      <c r="L12" s="15">
        <v>46300</v>
      </c>
      <c r="M12" s="33" t="s">
        <v>224</v>
      </c>
    </row>
    <row r="13" spans="1:13" x14ac:dyDescent="0.35">
      <c r="A13" s="17" t="s">
        <v>13</v>
      </c>
      <c r="B13" s="11" t="s">
        <v>170</v>
      </c>
      <c r="C13" s="11" t="s">
        <v>171</v>
      </c>
      <c r="D13" s="12" t="s">
        <v>62</v>
      </c>
      <c r="E13" s="32" t="s">
        <v>172</v>
      </c>
      <c r="F13" s="11" t="s">
        <v>100</v>
      </c>
      <c r="G13" s="11" t="s">
        <v>64</v>
      </c>
      <c r="H13" s="12" t="s">
        <v>120</v>
      </c>
      <c r="I13" s="12">
        <v>88</v>
      </c>
      <c r="J13" s="13">
        <v>25</v>
      </c>
      <c r="K13" s="14">
        <f t="shared" ref="K13:K18" si="1">I13*J13</f>
        <v>2200</v>
      </c>
      <c r="L13" s="15">
        <v>46300</v>
      </c>
      <c r="M13" s="34" t="s">
        <v>225</v>
      </c>
    </row>
    <row r="14" spans="1:13" x14ac:dyDescent="0.35">
      <c r="A14" s="17" t="s">
        <v>35</v>
      </c>
      <c r="B14" s="11" t="s">
        <v>176</v>
      </c>
      <c r="C14" s="11" t="s">
        <v>181</v>
      </c>
      <c r="D14" s="12" t="s">
        <v>25</v>
      </c>
      <c r="E14" s="32" t="s">
        <v>182</v>
      </c>
      <c r="F14" s="11" t="s">
        <v>179</v>
      </c>
      <c r="G14" s="11" t="s">
        <v>54</v>
      </c>
      <c r="H14" s="12" t="s">
        <v>74</v>
      </c>
      <c r="I14" s="12">
        <v>2510</v>
      </c>
      <c r="J14" s="13">
        <v>45</v>
      </c>
      <c r="K14" s="14">
        <f t="shared" si="1"/>
        <v>112950</v>
      </c>
      <c r="L14" s="15">
        <v>46300</v>
      </c>
      <c r="M14" s="31" t="s">
        <v>226</v>
      </c>
    </row>
    <row r="15" spans="1:13" x14ac:dyDescent="0.35">
      <c r="A15" s="17" t="s">
        <v>13</v>
      </c>
      <c r="B15" s="11" t="s">
        <v>183</v>
      </c>
      <c r="C15" s="11" t="s">
        <v>184</v>
      </c>
      <c r="D15" s="12" t="s">
        <v>185</v>
      </c>
      <c r="E15" s="11" t="s">
        <v>30</v>
      </c>
      <c r="F15" s="11" t="s">
        <v>186</v>
      </c>
      <c r="G15" s="11" t="s">
        <v>64</v>
      </c>
      <c r="H15" s="12" t="s">
        <v>120</v>
      </c>
      <c r="I15" s="12">
        <v>778</v>
      </c>
      <c r="J15" s="13">
        <v>25</v>
      </c>
      <c r="K15" s="14">
        <f t="shared" si="1"/>
        <v>19450</v>
      </c>
      <c r="L15" s="15">
        <v>46300</v>
      </c>
      <c r="M15" s="34" t="s">
        <v>227</v>
      </c>
    </row>
    <row r="16" spans="1:13" x14ac:dyDescent="0.35">
      <c r="A16" s="17" t="s">
        <v>13</v>
      </c>
      <c r="B16" s="11" t="s">
        <v>170</v>
      </c>
      <c r="C16" s="11" t="s">
        <v>187</v>
      </c>
      <c r="D16" s="11" t="s">
        <v>62</v>
      </c>
      <c r="E16" s="11" t="s">
        <v>27</v>
      </c>
      <c r="F16" s="11" t="s">
        <v>188</v>
      </c>
      <c r="G16" s="11" t="s">
        <v>64</v>
      </c>
      <c r="H16" s="12" t="s">
        <v>120</v>
      </c>
      <c r="I16" s="12">
        <v>657</v>
      </c>
      <c r="J16" s="14">
        <v>25</v>
      </c>
      <c r="K16" s="14">
        <f t="shared" si="1"/>
        <v>16425</v>
      </c>
      <c r="L16" s="15">
        <v>46300</v>
      </c>
      <c r="M16" s="34" t="s">
        <v>227</v>
      </c>
    </row>
    <row r="17" spans="1:13" x14ac:dyDescent="0.35">
      <c r="A17" s="17" t="s">
        <v>13</v>
      </c>
      <c r="B17" s="11" t="s">
        <v>32</v>
      </c>
      <c r="C17" s="11" t="s">
        <v>189</v>
      </c>
      <c r="D17" s="11" t="s">
        <v>34</v>
      </c>
      <c r="E17" s="11" t="s">
        <v>105</v>
      </c>
      <c r="F17" s="11" t="s">
        <v>190</v>
      </c>
      <c r="G17" s="11" t="s">
        <v>54</v>
      </c>
      <c r="H17" s="12" t="s">
        <v>65</v>
      </c>
      <c r="I17" s="12">
        <v>250</v>
      </c>
      <c r="J17" s="14">
        <v>45</v>
      </c>
      <c r="K17" s="14">
        <f t="shared" si="1"/>
        <v>11250</v>
      </c>
      <c r="L17" s="15">
        <v>46300</v>
      </c>
      <c r="M17" s="34" t="s">
        <v>229</v>
      </c>
    </row>
    <row r="18" spans="1:13" x14ac:dyDescent="0.35">
      <c r="A18" s="17" t="s">
        <v>13</v>
      </c>
      <c r="B18" s="11" t="s">
        <v>32</v>
      </c>
      <c r="C18" s="11" t="s">
        <v>198</v>
      </c>
      <c r="D18" s="11" t="s">
        <v>199</v>
      </c>
      <c r="E18" s="12" t="s">
        <v>26</v>
      </c>
      <c r="F18" s="11" t="s">
        <v>200</v>
      </c>
      <c r="G18" s="11" t="s">
        <v>64</v>
      </c>
      <c r="H18" s="12" t="s">
        <v>65</v>
      </c>
      <c r="I18" s="12">
        <v>533</v>
      </c>
      <c r="J18" s="14">
        <v>18</v>
      </c>
      <c r="K18" s="14">
        <f t="shared" si="1"/>
        <v>9594</v>
      </c>
      <c r="L18" s="15">
        <v>46300</v>
      </c>
      <c r="M18" s="34" t="s">
        <v>227</v>
      </c>
    </row>
    <row r="19" spans="1:13" x14ac:dyDescent="0.35">
      <c r="A19" s="2" t="s">
        <v>13</v>
      </c>
      <c r="B19" s="3" t="s">
        <v>14</v>
      </c>
      <c r="C19" s="3" t="s">
        <v>15</v>
      </c>
      <c r="D19" s="3" t="s">
        <v>16</v>
      </c>
      <c r="E19" s="3" t="s">
        <v>17</v>
      </c>
      <c r="F19" s="3" t="s">
        <v>18</v>
      </c>
      <c r="G19" s="3" t="s">
        <v>19</v>
      </c>
      <c r="H19" s="3" t="s">
        <v>20</v>
      </c>
      <c r="I19" s="5">
        <v>397</v>
      </c>
      <c r="J19" s="5" t="s">
        <v>21</v>
      </c>
      <c r="K19" s="3" t="s">
        <v>22</v>
      </c>
      <c r="L19" s="6">
        <v>46301</v>
      </c>
      <c r="M19" s="30"/>
    </row>
    <row r="20" spans="1:13" x14ac:dyDescent="0.35">
      <c r="A20" s="2" t="s">
        <v>13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G20" s="3" t="s">
        <v>19</v>
      </c>
      <c r="H20" s="3" t="s">
        <v>20</v>
      </c>
      <c r="I20" s="3">
        <v>800</v>
      </c>
      <c r="J20" s="5" t="s">
        <v>21</v>
      </c>
      <c r="K20" s="3" t="s">
        <v>28</v>
      </c>
      <c r="L20" s="6">
        <v>46301</v>
      </c>
      <c r="M20" s="30"/>
    </row>
    <row r="21" spans="1:13" x14ac:dyDescent="0.35">
      <c r="A21" s="2" t="s">
        <v>13</v>
      </c>
      <c r="B21" s="3" t="s">
        <v>23</v>
      </c>
      <c r="C21" s="3" t="s">
        <v>29</v>
      </c>
      <c r="D21" s="3" t="s">
        <v>25</v>
      </c>
      <c r="E21" s="3" t="s">
        <v>30</v>
      </c>
      <c r="F21" s="3" t="s">
        <v>27</v>
      </c>
      <c r="G21" s="3" t="s">
        <v>19</v>
      </c>
      <c r="H21" s="3" t="s">
        <v>20</v>
      </c>
      <c r="I21" s="3">
        <v>610</v>
      </c>
      <c r="J21" s="5" t="s">
        <v>21</v>
      </c>
      <c r="K21" s="3" t="s">
        <v>31</v>
      </c>
      <c r="L21" s="6">
        <v>46301</v>
      </c>
      <c r="M21" s="30"/>
    </row>
    <row r="22" spans="1:13" x14ac:dyDescent="0.35">
      <c r="A22" s="2" t="s">
        <v>13</v>
      </c>
      <c r="B22" s="3" t="s">
        <v>32</v>
      </c>
      <c r="C22" s="3" t="s">
        <v>33</v>
      </c>
      <c r="D22" s="3" t="s">
        <v>34</v>
      </c>
      <c r="E22" s="3" t="s">
        <v>26</v>
      </c>
      <c r="F22" s="3" t="s">
        <v>27</v>
      </c>
      <c r="G22" s="3" t="s">
        <v>19</v>
      </c>
      <c r="H22" s="3" t="s">
        <v>20</v>
      </c>
      <c r="I22" s="5">
        <v>800</v>
      </c>
      <c r="J22" s="5" t="s">
        <v>21</v>
      </c>
      <c r="K22" s="3" t="s">
        <v>28</v>
      </c>
      <c r="L22" s="6">
        <v>46301</v>
      </c>
      <c r="M22" s="30"/>
    </row>
    <row r="23" spans="1:13" x14ac:dyDescent="0.35">
      <c r="A23" s="2" t="s">
        <v>35</v>
      </c>
      <c r="B23" s="3" t="s">
        <v>36</v>
      </c>
      <c r="C23" s="3" t="s">
        <v>37</v>
      </c>
      <c r="D23" s="3" t="s">
        <v>38</v>
      </c>
      <c r="E23" s="3" t="s">
        <v>17</v>
      </c>
      <c r="F23" s="3" t="s">
        <v>39</v>
      </c>
      <c r="G23" s="3" t="s">
        <v>19</v>
      </c>
      <c r="H23" s="3" t="s">
        <v>20</v>
      </c>
      <c r="I23" s="3">
        <v>403</v>
      </c>
      <c r="J23" s="5" t="s">
        <v>40</v>
      </c>
      <c r="K23" s="3" t="s">
        <v>41</v>
      </c>
      <c r="L23" s="6">
        <v>46301</v>
      </c>
      <c r="M23" s="30"/>
    </row>
    <row r="24" spans="1:13" x14ac:dyDescent="0.35">
      <c r="A24" s="2" t="s">
        <v>13</v>
      </c>
      <c r="B24" s="3" t="s">
        <v>42</v>
      </c>
      <c r="C24" s="3" t="s">
        <v>43</v>
      </c>
      <c r="D24" s="3" t="s">
        <v>25</v>
      </c>
      <c r="E24" s="3" t="s">
        <v>26</v>
      </c>
      <c r="F24" s="3" t="s">
        <v>44</v>
      </c>
      <c r="G24" s="3" t="s">
        <v>19</v>
      </c>
      <c r="H24" s="3" t="s">
        <v>20</v>
      </c>
      <c r="I24" s="3">
        <v>832</v>
      </c>
      <c r="J24" s="5" t="s">
        <v>40</v>
      </c>
      <c r="K24" s="3" t="s">
        <v>45</v>
      </c>
      <c r="L24" s="6">
        <v>46301</v>
      </c>
      <c r="M24" s="30"/>
    </row>
    <row r="25" spans="1:13" x14ac:dyDescent="0.35">
      <c r="A25" s="2" t="s">
        <v>13</v>
      </c>
      <c r="B25" s="3" t="s">
        <v>42</v>
      </c>
      <c r="C25" s="3" t="s">
        <v>46</v>
      </c>
      <c r="D25" s="3" t="s">
        <v>25</v>
      </c>
      <c r="E25" s="3" t="s">
        <v>26</v>
      </c>
      <c r="F25" s="3" t="s">
        <v>44</v>
      </c>
      <c r="G25" s="3" t="s">
        <v>19</v>
      </c>
      <c r="H25" s="3" t="s">
        <v>20</v>
      </c>
      <c r="I25" s="3">
        <v>832</v>
      </c>
      <c r="J25" s="5" t="s">
        <v>40</v>
      </c>
      <c r="K25" s="3" t="s">
        <v>45</v>
      </c>
      <c r="L25" s="6">
        <v>46301</v>
      </c>
      <c r="M25" s="30"/>
    </row>
    <row r="26" spans="1:13" x14ac:dyDescent="0.35">
      <c r="A26" s="2" t="s">
        <v>13</v>
      </c>
      <c r="B26" s="3" t="s">
        <v>42</v>
      </c>
      <c r="C26" s="3" t="s">
        <v>47</v>
      </c>
      <c r="D26" s="3" t="s">
        <v>25</v>
      </c>
      <c r="E26" s="3" t="s">
        <v>26</v>
      </c>
      <c r="F26" s="3" t="s">
        <v>44</v>
      </c>
      <c r="G26" s="3" t="s">
        <v>19</v>
      </c>
      <c r="H26" s="3" t="s">
        <v>20</v>
      </c>
      <c r="I26" s="3">
        <v>832</v>
      </c>
      <c r="J26" s="5" t="s">
        <v>40</v>
      </c>
      <c r="K26" s="3" t="s">
        <v>45</v>
      </c>
      <c r="L26" s="6">
        <v>46301</v>
      </c>
      <c r="M26" s="30"/>
    </row>
    <row r="27" spans="1:13" x14ac:dyDescent="0.35">
      <c r="A27" s="2" t="s">
        <v>13</v>
      </c>
      <c r="B27" s="3" t="s">
        <v>42</v>
      </c>
      <c r="C27" s="3" t="s">
        <v>48</v>
      </c>
      <c r="D27" s="3" t="s">
        <v>25</v>
      </c>
      <c r="E27" s="3" t="s">
        <v>26</v>
      </c>
      <c r="F27" s="3" t="s">
        <v>44</v>
      </c>
      <c r="G27" s="3" t="s">
        <v>19</v>
      </c>
      <c r="H27" s="3" t="s">
        <v>20</v>
      </c>
      <c r="I27" s="3">
        <v>832</v>
      </c>
      <c r="J27" s="5" t="s">
        <v>40</v>
      </c>
      <c r="K27" s="3" t="s">
        <v>45</v>
      </c>
      <c r="L27" s="6">
        <v>46301</v>
      </c>
      <c r="M27" s="30"/>
    </row>
    <row r="28" spans="1:13" x14ac:dyDescent="0.35">
      <c r="A28" s="2" t="s">
        <v>13</v>
      </c>
      <c r="B28" s="3" t="s">
        <v>14</v>
      </c>
      <c r="C28" s="3" t="s">
        <v>66</v>
      </c>
      <c r="D28" s="3" t="s">
        <v>67</v>
      </c>
      <c r="E28" s="5" t="s">
        <v>30</v>
      </c>
      <c r="F28" s="3" t="s">
        <v>68</v>
      </c>
      <c r="G28" s="3" t="s">
        <v>54</v>
      </c>
      <c r="H28" s="3" t="s">
        <v>69</v>
      </c>
      <c r="I28" s="5">
        <v>160</v>
      </c>
      <c r="J28" s="5" t="s">
        <v>70</v>
      </c>
      <c r="K28" s="3" t="s">
        <v>71</v>
      </c>
      <c r="L28" s="6">
        <v>46301</v>
      </c>
      <c r="M28" s="30"/>
    </row>
    <row r="29" spans="1:13" x14ac:dyDescent="0.35">
      <c r="A29" s="2" t="s">
        <v>13</v>
      </c>
      <c r="B29" s="3" t="s">
        <v>14</v>
      </c>
      <c r="C29" s="3" t="s">
        <v>72</v>
      </c>
      <c r="D29" s="3" t="s">
        <v>67</v>
      </c>
      <c r="E29" s="5" t="s">
        <v>30</v>
      </c>
      <c r="F29" s="3" t="s">
        <v>68</v>
      </c>
      <c r="G29" s="3" t="s">
        <v>54</v>
      </c>
      <c r="H29" s="3" t="s">
        <v>69</v>
      </c>
      <c r="I29" s="5">
        <v>160</v>
      </c>
      <c r="J29" s="5" t="s">
        <v>70</v>
      </c>
      <c r="K29" s="3" t="s">
        <v>71</v>
      </c>
      <c r="L29" s="6">
        <v>46301</v>
      </c>
      <c r="M29" s="30"/>
    </row>
    <row r="30" spans="1:13" x14ac:dyDescent="0.35">
      <c r="A30" s="2" t="s">
        <v>13</v>
      </c>
      <c r="B30" s="3" t="s">
        <v>14</v>
      </c>
      <c r="C30" s="3" t="s">
        <v>77</v>
      </c>
      <c r="D30" s="3" t="s">
        <v>67</v>
      </c>
      <c r="E30" s="5" t="s">
        <v>30</v>
      </c>
      <c r="F30" s="3" t="s">
        <v>68</v>
      </c>
      <c r="G30" s="3" t="s">
        <v>54</v>
      </c>
      <c r="H30" s="3" t="s">
        <v>69</v>
      </c>
      <c r="I30" s="5">
        <v>160</v>
      </c>
      <c r="J30" s="5" t="s">
        <v>70</v>
      </c>
      <c r="K30" s="3" t="s">
        <v>71</v>
      </c>
      <c r="L30" s="6">
        <v>46301</v>
      </c>
      <c r="M30" s="30"/>
    </row>
    <row r="31" spans="1:13" x14ac:dyDescent="0.35">
      <c r="A31" s="2" t="s">
        <v>13</v>
      </c>
      <c r="B31" s="3" t="s">
        <v>14</v>
      </c>
      <c r="C31" s="3" t="s">
        <v>78</v>
      </c>
      <c r="D31" s="3" t="s">
        <v>67</v>
      </c>
      <c r="E31" s="5" t="s">
        <v>30</v>
      </c>
      <c r="F31" s="3" t="s">
        <v>68</v>
      </c>
      <c r="G31" s="3" t="s">
        <v>54</v>
      </c>
      <c r="H31" s="3" t="s">
        <v>69</v>
      </c>
      <c r="I31" s="5">
        <v>160</v>
      </c>
      <c r="J31" s="5" t="s">
        <v>70</v>
      </c>
      <c r="K31" s="3" t="s">
        <v>71</v>
      </c>
      <c r="L31" s="6">
        <v>46301</v>
      </c>
      <c r="M31" s="30"/>
    </row>
    <row r="32" spans="1:13" x14ac:dyDescent="0.35">
      <c r="A32" s="2" t="s">
        <v>13</v>
      </c>
      <c r="B32" s="3" t="s">
        <v>14</v>
      </c>
      <c r="C32" s="3" t="s">
        <v>79</v>
      </c>
      <c r="D32" s="3" t="s">
        <v>67</v>
      </c>
      <c r="E32" s="5" t="s">
        <v>30</v>
      </c>
      <c r="F32" s="3" t="s">
        <v>68</v>
      </c>
      <c r="G32" s="3" t="s">
        <v>54</v>
      </c>
      <c r="H32" s="3" t="s">
        <v>69</v>
      </c>
      <c r="I32" s="5">
        <v>160</v>
      </c>
      <c r="J32" s="5" t="s">
        <v>70</v>
      </c>
      <c r="K32" s="3" t="s">
        <v>71</v>
      </c>
      <c r="L32" s="6">
        <v>46301</v>
      </c>
      <c r="M32" s="30"/>
    </row>
    <row r="33" spans="1:13" x14ac:dyDescent="0.35">
      <c r="A33" s="2" t="s">
        <v>13</v>
      </c>
      <c r="B33" s="3" t="s">
        <v>14</v>
      </c>
      <c r="C33" s="3" t="s">
        <v>80</v>
      </c>
      <c r="D33" s="3" t="s">
        <v>67</v>
      </c>
      <c r="E33" s="5" t="s">
        <v>30</v>
      </c>
      <c r="F33" s="3" t="s">
        <v>68</v>
      </c>
      <c r="G33" s="3" t="s">
        <v>54</v>
      </c>
      <c r="H33" s="3" t="s">
        <v>69</v>
      </c>
      <c r="I33" s="5">
        <v>160</v>
      </c>
      <c r="J33" s="5" t="s">
        <v>70</v>
      </c>
      <c r="K33" s="3" t="s">
        <v>71</v>
      </c>
      <c r="L33" s="6">
        <v>46301</v>
      </c>
      <c r="M33" s="30"/>
    </row>
    <row r="34" spans="1:13" x14ac:dyDescent="0.35">
      <c r="A34" s="2" t="s">
        <v>13</v>
      </c>
      <c r="B34" s="3" t="s">
        <v>23</v>
      </c>
      <c r="C34" s="3" t="s">
        <v>162</v>
      </c>
      <c r="D34" s="3" t="s">
        <v>163</v>
      </c>
      <c r="E34" s="5" t="s">
        <v>30</v>
      </c>
      <c r="F34" s="5" t="s">
        <v>27</v>
      </c>
      <c r="G34" s="5" t="s">
        <v>64</v>
      </c>
      <c r="H34" s="5" t="s">
        <v>65</v>
      </c>
      <c r="I34" s="5">
        <v>610</v>
      </c>
      <c r="J34" s="5" t="s">
        <v>40</v>
      </c>
      <c r="K34" s="3" t="s">
        <v>164</v>
      </c>
      <c r="L34" s="6">
        <v>46301</v>
      </c>
      <c r="M34" s="30"/>
    </row>
    <row r="35" spans="1:13" x14ac:dyDescent="0.35">
      <c r="A35" s="2" t="s">
        <v>13</v>
      </c>
      <c r="B35" s="3" t="s">
        <v>201</v>
      </c>
      <c r="C35" s="3" t="s">
        <v>169</v>
      </c>
      <c r="D35" s="3" t="s">
        <v>202</v>
      </c>
      <c r="E35" s="7" t="s">
        <v>221</v>
      </c>
      <c r="F35" s="3" t="s">
        <v>203</v>
      </c>
      <c r="G35" s="3" t="s">
        <v>54</v>
      </c>
      <c r="H35" s="5" t="s">
        <v>65</v>
      </c>
      <c r="I35" s="5">
        <v>15</v>
      </c>
      <c r="J35" s="3" t="s">
        <v>91</v>
      </c>
      <c r="K35" s="3" t="s">
        <v>204</v>
      </c>
      <c r="L35" s="6">
        <v>46301</v>
      </c>
      <c r="M35" s="30"/>
    </row>
    <row r="36" spans="1:13" x14ac:dyDescent="0.35">
      <c r="A36" s="2" t="s">
        <v>13</v>
      </c>
      <c r="B36" s="3" t="s">
        <v>32</v>
      </c>
      <c r="C36" s="3" t="s">
        <v>209</v>
      </c>
      <c r="D36" s="3" t="s">
        <v>210</v>
      </c>
      <c r="E36" s="7" t="s">
        <v>211</v>
      </c>
      <c r="F36" s="3" t="s">
        <v>26</v>
      </c>
      <c r="G36" s="3" t="s">
        <v>64</v>
      </c>
      <c r="H36" s="3" t="s">
        <v>65</v>
      </c>
      <c r="I36" s="5">
        <v>14</v>
      </c>
      <c r="J36" s="3" t="s">
        <v>91</v>
      </c>
      <c r="K36" s="3" t="s">
        <v>212</v>
      </c>
      <c r="L36" s="6">
        <v>46301</v>
      </c>
      <c r="M36" s="30"/>
    </row>
    <row r="37" spans="1:13" x14ac:dyDescent="0.35">
      <c r="A37" s="2" t="s">
        <v>13</v>
      </c>
      <c r="B37" s="3" t="s">
        <v>14</v>
      </c>
      <c r="C37" s="3" t="s">
        <v>81</v>
      </c>
      <c r="D37" s="3" t="s">
        <v>67</v>
      </c>
      <c r="E37" s="5" t="s">
        <v>30</v>
      </c>
      <c r="F37" s="3" t="s">
        <v>68</v>
      </c>
      <c r="G37" s="3" t="s">
        <v>54</v>
      </c>
      <c r="H37" s="3" t="s">
        <v>69</v>
      </c>
      <c r="I37" s="5">
        <v>160</v>
      </c>
      <c r="J37" s="5" t="s">
        <v>70</v>
      </c>
      <c r="K37" s="3" t="s">
        <v>71</v>
      </c>
      <c r="L37" s="6">
        <v>46302</v>
      </c>
      <c r="M37" s="30"/>
    </row>
    <row r="38" spans="1:13" x14ac:dyDescent="0.35">
      <c r="A38" s="2" t="s">
        <v>13</v>
      </c>
      <c r="B38" s="3" t="s">
        <v>14</v>
      </c>
      <c r="C38" s="3" t="s">
        <v>82</v>
      </c>
      <c r="D38" s="3" t="s">
        <v>67</v>
      </c>
      <c r="E38" s="5" t="s">
        <v>30</v>
      </c>
      <c r="F38" s="3" t="s">
        <v>68</v>
      </c>
      <c r="G38" s="3" t="s">
        <v>54</v>
      </c>
      <c r="H38" s="3" t="s">
        <v>69</v>
      </c>
      <c r="I38" s="5">
        <v>160</v>
      </c>
      <c r="J38" s="5" t="s">
        <v>70</v>
      </c>
      <c r="K38" s="3" t="s">
        <v>71</v>
      </c>
      <c r="L38" s="6">
        <v>46302</v>
      </c>
      <c r="M38" s="30"/>
    </row>
    <row r="39" spans="1:13" x14ac:dyDescent="0.35">
      <c r="A39" s="2" t="s">
        <v>49</v>
      </c>
      <c r="B39" s="3" t="s">
        <v>14</v>
      </c>
      <c r="C39" s="3" t="s">
        <v>83</v>
      </c>
      <c r="D39" s="3" t="s">
        <v>67</v>
      </c>
      <c r="E39" s="5" t="s">
        <v>30</v>
      </c>
      <c r="F39" s="3" t="s">
        <v>68</v>
      </c>
      <c r="G39" s="3" t="s">
        <v>54</v>
      </c>
      <c r="H39" s="3" t="s">
        <v>69</v>
      </c>
      <c r="I39" s="5">
        <v>160</v>
      </c>
      <c r="J39" s="5" t="s">
        <v>70</v>
      </c>
      <c r="K39" s="3" t="s">
        <v>71</v>
      </c>
      <c r="L39" s="6">
        <v>46302</v>
      </c>
      <c r="M39" s="30"/>
    </row>
    <row r="40" spans="1:13" x14ac:dyDescent="0.35">
      <c r="A40" s="2" t="s">
        <v>49</v>
      </c>
      <c r="B40" s="3" t="s">
        <v>14</v>
      </c>
      <c r="C40" s="3" t="s">
        <v>84</v>
      </c>
      <c r="D40" s="3" t="s">
        <v>67</v>
      </c>
      <c r="E40" s="5" t="s">
        <v>30</v>
      </c>
      <c r="F40" s="5" t="s">
        <v>68</v>
      </c>
      <c r="G40" s="3" t="s">
        <v>54</v>
      </c>
      <c r="H40" s="3" t="s">
        <v>69</v>
      </c>
      <c r="I40" s="5">
        <v>160</v>
      </c>
      <c r="J40" s="5" t="s">
        <v>70</v>
      </c>
      <c r="K40" s="3" t="s">
        <v>71</v>
      </c>
      <c r="L40" s="6">
        <v>46302</v>
      </c>
      <c r="M40" s="30"/>
    </row>
    <row r="41" spans="1:13" x14ac:dyDescent="0.35">
      <c r="A41" s="2" t="s">
        <v>35</v>
      </c>
      <c r="B41" s="3" t="s">
        <v>106</v>
      </c>
      <c r="C41" s="3" t="s">
        <v>107</v>
      </c>
      <c r="D41" s="3" t="s">
        <v>108</v>
      </c>
      <c r="E41" s="5" t="s">
        <v>30</v>
      </c>
      <c r="F41" s="5" t="s">
        <v>109</v>
      </c>
      <c r="G41" s="3" t="s">
        <v>64</v>
      </c>
      <c r="H41" s="3" t="s">
        <v>65</v>
      </c>
      <c r="I41" s="5">
        <v>407</v>
      </c>
      <c r="J41" s="5" t="s">
        <v>110</v>
      </c>
      <c r="K41" s="3" t="s">
        <v>111</v>
      </c>
      <c r="L41" s="6">
        <v>46302</v>
      </c>
      <c r="M41" s="30"/>
    </row>
    <row r="42" spans="1:13" x14ac:dyDescent="0.35">
      <c r="A42" s="2" t="s">
        <v>13</v>
      </c>
      <c r="B42" s="3" t="s">
        <v>42</v>
      </c>
      <c r="C42" s="3" t="s">
        <v>122</v>
      </c>
      <c r="D42" s="3" t="s">
        <v>108</v>
      </c>
      <c r="E42" s="5" t="s">
        <v>30</v>
      </c>
      <c r="F42" s="5" t="s">
        <v>116</v>
      </c>
      <c r="G42" s="3" t="s">
        <v>64</v>
      </c>
      <c r="H42" s="3" t="s">
        <v>120</v>
      </c>
      <c r="I42" s="5">
        <v>683</v>
      </c>
      <c r="J42" s="5" t="s">
        <v>110</v>
      </c>
      <c r="K42" s="3" t="s">
        <v>117</v>
      </c>
      <c r="L42" s="6">
        <v>46302</v>
      </c>
      <c r="M42" s="30"/>
    </row>
    <row r="43" spans="1:13" x14ac:dyDescent="0.35">
      <c r="A43" s="2" t="s">
        <v>35</v>
      </c>
      <c r="B43" s="3" t="s">
        <v>42</v>
      </c>
      <c r="C43" s="3" t="s">
        <v>123</v>
      </c>
      <c r="D43" s="3" t="s">
        <v>108</v>
      </c>
      <c r="E43" s="5" t="s">
        <v>30</v>
      </c>
      <c r="F43" s="5" t="s">
        <v>113</v>
      </c>
      <c r="G43" s="3" t="s">
        <v>64</v>
      </c>
      <c r="H43" s="3" t="s">
        <v>65</v>
      </c>
      <c r="I43" s="5">
        <v>673</v>
      </c>
      <c r="J43" s="5" t="s">
        <v>110</v>
      </c>
      <c r="K43" s="3" t="s">
        <v>114</v>
      </c>
      <c r="L43" s="6">
        <v>46302</v>
      </c>
      <c r="M43" s="30"/>
    </row>
    <row r="44" spans="1:13" x14ac:dyDescent="0.35">
      <c r="A44" s="2" t="s">
        <v>35</v>
      </c>
      <c r="B44" s="3" t="s">
        <v>42</v>
      </c>
      <c r="C44" s="3" t="s">
        <v>128</v>
      </c>
      <c r="D44" s="3" t="s">
        <v>108</v>
      </c>
      <c r="E44" s="5" t="s">
        <v>30</v>
      </c>
      <c r="F44" s="5" t="s">
        <v>113</v>
      </c>
      <c r="G44" s="3" t="s">
        <v>64</v>
      </c>
      <c r="H44" s="3" t="s">
        <v>65</v>
      </c>
      <c r="I44" s="5">
        <v>673</v>
      </c>
      <c r="J44" s="5" t="s">
        <v>110</v>
      </c>
      <c r="K44" s="3" t="s">
        <v>114</v>
      </c>
      <c r="L44" s="6">
        <v>46302</v>
      </c>
      <c r="M44" s="30"/>
    </row>
    <row r="45" spans="1:13" x14ac:dyDescent="0.35">
      <c r="A45" s="2" t="s">
        <v>13</v>
      </c>
      <c r="B45" s="3" t="s">
        <v>106</v>
      </c>
      <c r="C45" s="3" t="s">
        <v>134</v>
      </c>
      <c r="D45" s="3" t="s">
        <v>108</v>
      </c>
      <c r="E45" s="5" t="s">
        <v>30</v>
      </c>
      <c r="F45" s="5" t="s">
        <v>109</v>
      </c>
      <c r="G45" s="3" t="s">
        <v>64</v>
      </c>
      <c r="H45" s="3" t="s">
        <v>120</v>
      </c>
      <c r="I45" s="5">
        <v>407</v>
      </c>
      <c r="J45" s="5" t="s">
        <v>110</v>
      </c>
      <c r="K45" s="3" t="s">
        <v>111</v>
      </c>
      <c r="L45" s="6">
        <v>46302</v>
      </c>
      <c r="M45" s="30"/>
    </row>
    <row r="46" spans="1:13" x14ac:dyDescent="0.35">
      <c r="A46" s="2" t="s">
        <v>13</v>
      </c>
      <c r="B46" s="3" t="s">
        <v>135</v>
      </c>
      <c r="C46" s="3" t="s">
        <v>136</v>
      </c>
      <c r="D46" s="3" t="s">
        <v>137</v>
      </c>
      <c r="E46" s="5" t="s">
        <v>30</v>
      </c>
      <c r="F46" s="5" t="s">
        <v>138</v>
      </c>
      <c r="G46" s="3" t="s">
        <v>64</v>
      </c>
      <c r="H46" s="3" t="s">
        <v>120</v>
      </c>
      <c r="I46" s="5">
        <v>545</v>
      </c>
      <c r="J46" s="5" t="s">
        <v>110</v>
      </c>
      <c r="K46" s="3" t="s">
        <v>139</v>
      </c>
      <c r="L46" s="6">
        <v>46302</v>
      </c>
      <c r="M46" s="30"/>
    </row>
    <row r="47" spans="1:13" x14ac:dyDescent="0.35">
      <c r="A47" s="2" t="s">
        <v>13</v>
      </c>
      <c r="B47" s="3" t="s">
        <v>32</v>
      </c>
      <c r="C47" s="3" t="s">
        <v>140</v>
      </c>
      <c r="D47" s="3" t="s">
        <v>137</v>
      </c>
      <c r="E47" s="5" t="s">
        <v>30</v>
      </c>
      <c r="F47" s="5" t="s">
        <v>141</v>
      </c>
      <c r="G47" s="3" t="s">
        <v>64</v>
      </c>
      <c r="H47" s="3" t="s">
        <v>65</v>
      </c>
      <c r="I47" s="5">
        <v>178</v>
      </c>
      <c r="J47" s="5" t="s">
        <v>110</v>
      </c>
      <c r="K47" s="3" t="s">
        <v>142</v>
      </c>
      <c r="L47" s="6">
        <v>46302</v>
      </c>
      <c r="M47" s="30"/>
    </row>
    <row r="48" spans="1:13" x14ac:dyDescent="0.35">
      <c r="A48" s="2" t="s">
        <v>13</v>
      </c>
      <c r="B48" s="3" t="s">
        <v>32</v>
      </c>
      <c r="C48" s="3" t="s">
        <v>143</v>
      </c>
      <c r="D48" s="3" t="s">
        <v>137</v>
      </c>
      <c r="E48" s="5" t="s">
        <v>30</v>
      </c>
      <c r="F48" s="5" t="s">
        <v>141</v>
      </c>
      <c r="G48" s="3" t="s">
        <v>64</v>
      </c>
      <c r="H48" s="3" t="s">
        <v>65</v>
      </c>
      <c r="I48" s="5">
        <v>178</v>
      </c>
      <c r="J48" s="5" t="s">
        <v>110</v>
      </c>
      <c r="K48" s="3" t="s">
        <v>142</v>
      </c>
      <c r="L48" s="6">
        <v>46302</v>
      </c>
      <c r="M48" s="30"/>
    </row>
    <row r="49" spans="1:13" x14ac:dyDescent="0.35">
      <c r="A49" s="2" t="s">
        <v>35</v>
      </c>
      <c r="B49" s="3" t="s">
        <v>146</v>
      </c>
      <c r="C49" s="3" t="s">
        <v>147</v>
      </c>
      <c r="D49" s="3" t="s">
        <v>137</v>
      </c>
      <c r="E49" s="5" t="s">
        <v>30</v>
      </c>
      <c r="F49" s="5" t="s">
        <v>148</v>
      </c>
      <c r="G49" s="3" t="s">
        <v>64</v>
      </c>
      <c r="H49" s="3" t="s">
        <v>65</v>
      </c>
      <c r="I49" s="5">
        <v>544</v>
      </c>
      <c r="J49" s="5" t="s">
        <v>110</v>
      </c>
      <c r="K49" s="3" t="s">
        <v>149</v>
      </c>
      <c r="L49" s="6">
        <v>46302</v>
      </c>
      <c r="M49" s="30"/>
    </row>
    <row r="50" spans="1:13" x14ac:dyDescent="0.35">
      <c r="A50" s="2" t="s">
        <v>35</v>
      </c>
      <c r="B50" s="3" t="s">
        <v>23</v>
      </c>
      <c r="C50" s="3" t="s">
        <v>173</v>
      </c>
      <c r="D50" s="5" t="s">
        <v>25</v>
      </c>
      <c r="E50" s="3" t="s">
        <v>174</v>
      </c>
      <c r="F50" s="3" t="s">
        <v>27</v>
      </c>
      <c r="G50" s="3" t="s">
        <v>54</v>
      </c>
      <c r="H50" s="5" t="s">
        <v>74</v>
      </c>
      <c r="I50" s="5">
        <v>515</v>
      </c>
      <c r="J50" s="5" t="s">
        <v>75</v>
      </c>
      <c r="K50" s="3" t="s">
        <v>175</v>
      </c>
      <c r="L50" s="6">
        <v>46302</v>
      </c>
      <c r="M50" s="30"/>
    </row>
    <row r="51" spans="1:13" x14ac:dyDescent="0.35">
      <c r="A51" s="2" t="s">
        <v>35</v>
      </c>
      <c r="B51" s="3" t="s">
        <v>176</v>
      </c>
      <c r="C51" s="3" t="s">
        <v>177</v>
      </c>
      <c r="D51" s="5" t="s">
        <v>25</v>
      </c>
      <c r="E51" s="7" t="s">
        <v>178</v>
      </c>
      <c r="F51" s="3" t="s">
        <v>179</v>
      </c>
      <c r="G51" s="3" t="s">
        <v>54</v>
      </c>
      <c r="H51" s="5" t="s">
        <v>74</v>
      </c>
      <c r="I51" s="5">
        <v>713</v>
      </c>
      <c r="J51" s="5" t="s">
        <v>75</v>
      </c>
      <c r="K51" s="3" t="s">
        <v>180</v>
      </c>
      <c r="L51" s="6">
        <v>46302</v>
      </c>
      <c r="M51" s="30"/>
    </row>
    <row r="52" spans="1:13" x14ac:dyDescent="0.35">
      <c r="A52" s="2" t="s">
        <v>35</v>
      </c>
      <c r="B52" s="3" t="s">
        <v>32</v>
      </c>
      <c r="C52" s="3" t="s">
        <v>191</v>
      </c>
      <c r="D52" s="3" t="s">
        <v>108</v>
      </c>
      <c r="E52" s="5" t="s">
        <v>26</v>
      </c>
      <c r="F52" s="3" t="s">
        <v>192</v>
      </c>
      <c r="G52" s="3" t="s">
        <v>64</v>
      </c>
      <c r="H52" s="3" t="s">
        <v>65</v>
      </c>
      <c r="I52" s="5">
        <v>506</v>
      </c>
      <c r="J52" s="5" t="s">
        <v>110</v>
      </c>
      <c r="K52" s="3" t="s">
        <v>193</v>
      </c>
      <c r="L52" s="6">
        <v>46302</v>
      </c>
      <c r="M52" s="30"/>
    </row>
    <row r="53" spans="1:13" x14ac:dyDescent="0.35">
      <c r="A53" s="2" t="s">
        <v>13</v>
      </c>
      <c r="B53" s="3" t="s">
        <v>32</v>
      </c>
      <c r="C53" s="3" t="s">
        <v>194</v>
      </c>
      <c r="D53" s="3" t="s">
        <v>108</v>
      </c>
      <c r="E53" s="5" t="s">
        <v>26</v>
      </c>
      <c r="F53" s="3" t="s">
        <v>195</v>
      </c>
      <c r="G53" s="3" t="s">
        <v>64</v>
      </c>
      <c r="H53" s="3" t="s">
        <v>120</v>
      </c>
      <c r="I53" s="5">
        <v>645</v>
      </c>
      <c r="J53" s="5" t="s">
        <v>110</v>
      </c>
      <c r="K53" s="3" t="s">
        <v>196</v>
      </c>
      <c r="L53" s="6">
        <v>46302</v>
      </c>
      <c r="M53" s="30"/>
    </row>
    <row r="54" spans="1:13" x14ac:dyDescent="0.35">
      <c r="A54" s="2" t="s">
        <v>35</v>
      </c>
      <c r="B54" s="3" t="s">
        <v>32</v>
      </c>
      <c r="C54" s="3" t="s">
        <v>197</v>
      </c>
      <c r="D54" s="3" t="s">
        <v>108</v>
      </c>
      <c r="E54" s="5" t="s">
        <v>30</v>
      </c>
      <c r="F54" s="3" t="s">
        <v>138</v>
      </c>
      <c r="G54" s="3" t="s">
        <v>64</v>
      </c>
      <c r="H54" s="3" t="s">
        <v>65</v>
      </c>
      <c r="I54" s="5">
        <v>545</v>
      </c>
      <c r="J54" s="5" t="s">
        <v>110</v>
      </c>
      <c r="K54" s="3" t="s">
        <v>139</v>
      </c>
      <c r="L54" s="6">
        <v>46302</v>
      </c>
      <c r="M54" s="30"/>
    </row>
    <row r="55" spans="1:13" x14ac:dyDescent="0.35">
      <c r="A55" s="2" t="s">
        <v>35</v>
      </c>
      <c r="B55" s="3" t="s">
        <v>165</v>
      </c>
      <c r="C55" s="3" t="s">
        <v>166</v>
      </c>
      <c r="D55" s="3" t="s">
        <v>167</v>
      </c>
      <c r="E55" s="5" t="s">
        <v>168</v>
      </c>
      <c r="F55" s="3" t="s">
        <v>116</v>
      </c>
      <c r="G55" s="3" t="s">
        <v>64</v>
      </c>
      <c r="H55" s="3" t="s">
        <v>65</v>
      </c>
      <c r="I55" s="5">
        <v>2529</v>
      </c>
      <c r="J55" s="3" t="s">
        <v>40</v>
      </c>
      <c r="K55" s="3" t="s">
        <v>205</v>
      </c>
      <c r="L55" s="6">
        <v>46302</v>
      </c>
      <c r="M55" s="30"/>
    </row>
    <row r="56" spans="1:13" x14ac:dyDescent="0.35">
      <c r="A56" s="2" t="s">
        <v>35</v>
      </c>
      <c r="B56" s="3" t="s">
        <v>165</v>
      </c>
      <c r="C56" s="3" t="s">
        <v>206</v>
      </c>
      <c r="D56" s="3" t="s">
        <v>167</v>
      </c>
      <c r="E56" s="5" t="s">
        <v>168</v>
      </c>
      <c r="F56" s="3" t="s">
        <v>116</v>
      </c>
      <c r="G56" s="3" t="s">
        <v>64</v>
      </c>
      <c r="H56" s="3" t="s">
        <v>65</v>
      </c>
      <c r="I56" s="5">
        <v>2529</v>
      </c>
      <c r="J56" s="3" t="s">
        <v>40</v>
      </c>
      <c r="K56" s="3" t="s">
        <v>205</v>
      </c>
      <c r="L56" s="6">
        <v>46302</v>
      </c>
      <c r="M56" s="30"/>
    </row>
    <row r="57" spans="1:13" x14ac:dyDescent="0.35">
      <c r="A57" s="2" t="s">
        <v>35</v>
      </c>
      <c r="B57" s="3" t="s">
        <v>213</v>
      </c>
      <c r="C57" s="3" t="s">
        <v>214</v>
      </c>
      <c r="D57" s="3" t="s">
        <v>62</v>
      </c>
      <c r="E57" s="3" t="s">
        <v>30</v>
      </c>
      <c r="F57" s="3" t="s">
        <v>215</v>
      </c>
      <c r="G57" s="3" t="s">
        <v>64</v>
      </c>
      <c r="H57" s="3" t="s">
        <v>120</v>
      </c>
      <c r="I57" s="5">
        <v>1540</v>
      </c>
      <c r="J57" s="3" t="s">
        <v>40</v>
      </c>
      <c r="K57" s="3" t="s">
        <v>216</v>
      </c>
      <c r="L57" s="6">
        <v>46302</v>
      </c>
      <c r="M57" s="30"/>
    </row>
    <row r="58" spans="1:13" x14ac:dyDescent="0.35">
      <c r="A58" s="2" t="s">
        <v>35</v>
      </c>
      <c r="B58" s="3" t="s">
        <v>213</v>
      </c>
      <c r="C58" s="3" t="s">
        <v>219</v>
      </c>
      <c r="D58" s="3" t="s">
        <v>62</v>
      </c>
      <c r="E58" s="3" t="s">
        <v>30</v>
      </c>
      <c r="F58" s="3" t="s">
        <v>215</v>
      </c>
      <c r="G58" s="3" t="s">
        <v>64</v>
      </c>
      <c r="H58" s="3" t="s">
        <v>120</v>
      </c>
      <c r="I58" s="5">
        <v>1540</v>
      </c>
      <c r="J58" s="3" t="s">
        <v>40</v>
      </c>
      <c r="K58" s="3" t="s">
        <v>216</v>
      </c>
      <c r="L58" s="6">
        <v>46302</v>
      </c>
      <c r="M58" s="30"/>
    </row>
    <row r="59" spans="1:13" x14ac:dyDescent="0.35">
      <c r="A59" s="2" t="s">
        <v>49</v>
      </c>
      <c r="B59" s="3" t="s">
        <v>14</v>
      </c>
      <c r="C59" s="3" t="s">
        <v>73</v>
      </c>
      <c r="D59" s="3" t="s">
        <v>67</v>
      </c>
      <c r="E59" s="5" t="s">
        <v>30</v>
      </c>
      <c r="F59" s="3" t="s">
        <v>68</v>
      </c>
      <c r="G59" s="3" t="s">
        <v>54</v>
      </c>
      <c r="H59" s="3" t="s">
        <v>74</v>
      </c>
      <c r="I59" s="5">
        <v>160</v>
      </c>
      <c r="J59" s="5" t="s">
        <v>75</v>
      </c>
      <c r="K59" s="3" t="s">
        <v>76</v>
      </c>
      <c r="L59" s="6">
        <v>46303</v>
      </c>
      <c r="M59" s="30"/>
    </row>
    <row r="60" spans="1:13" x14ac:dyDescent="0.35">
      <c r="A60" s="2" t="s">
        <v>49</v>
      </c>
      <c r="B60" s="3" t="s">
        <v>42</v>
      </c>
      <c r="C60" s="3" t="s">
        <v>112</v>
      </c>
      <c r="D60" s="3" t="s">
        <v>108</v>
      </c>
      <c r="E60" s="3" t="s">
        <v>30</v>
      </c>
      <c r="F60" s="5" t="s">
        <v>113</v>
      </c>
      <c r="G60" s="3" t="s">
        <v>64</v>
      </c>
      <c r="H60" s="3" t="s">
        <v>65</v>
      </c>
      <c r="I60" s="5">
        <v>673</v>
      </c>
      <c r="J60" s="5" t="s">
        <v>110</v>
      </c>
      <c r="K60" s="3" t="s">
        <v>114</v>
      </c>
      <c r="L60" s="6">
        <v>46303</v>
      </c>
      <c r="M60" s="30"/>
    </row>
    <row r="61" spans="1:13" x14ac:dyDescent="0.35">
      <c r="A61" s="2" t="s">
        <v>49</v>
      </c>
      <c r="B61" s="3" t="s">
        <v>42</v>
      </c>
      <c r="C61" s="3" t="s">
        <v>115</v>
      </c>
      <c r="D61" s="3" t="s">
        <v>108</v>
      </c>
      <c r="E61" s="3" t="s">
        <v>30</v>
      </c>
      <c r="F61" s="5" t="s">
        <v>116</v>
      </c>
      <c r="G61" s="3" t="s">
        <v>64</v>
      </c>
      <c r="H61" s="3" t="s">
        <v>65</v>
      </c>
      <c r="I61" s="5">
        <v>683</v>
      </c>
      <c r="J61" s="5" t="s">
        <v>110</v>
      </c>
      <c r="K61" s="3" t="s">
        <v>117</v>
      </c>
      <c r="L61" s="6">
        <v>46303</v>
      </c>
      <c r="M61" s="30"/>
    </row>
    <row r="62" spans="1:13" x14ac:dyDescent="0.35">
      <c r="A62" s="2" t="s">
        <v>49</v>
      </c>
      <c r="B62" s="3" t="s">
        <v>42</v>
      </c>
      <c r="C62" s="3" t="s">
        <v>118</v>
      </c>
      <c r="D62" s="3" t="s">
        <v>108</v>
      </c>
      <c r="E62" s="3" t="s">
        <v>30</v>
      </c>
      <c r="F62" s="5" t="s">
        <v>116</v>
      </c>
      <c r="G62" s="3" t="s">
        <v>64</v>
      </c>
      <c r="H62" s="3" t="s">
        <v>65</v>
      </c>
      <c r="I62" s="5">
        <v>683</v>
      </c>
      <c r="J62" s="5" t="s">
        <v>110</v>
      </c>
      <c r="K62" s="3" t="s">
        <v>117</v>
      </c>
      <c r="L62" s="6">
        <v>46303</v>
      </c>
      <c r="M62" s="30"/>
    </row>
    <row r="63" spans="1:13" x14ac:dyDescent="0.35">
      <c r="A63" s="18" t="s">
        <v>49</v>
      </c>
      <c r="B63" s="19" t="s">
        <v>106</v>
      </c>
      <c r="C63" s="19" t="s">
        <v>119</v>
      </c>
      <c r="D63" s="19" t="s">
        <v>108</v>
      </c>
      <c r="E63" s="19" t="s">
        <v>30</v>
      </c>
      <c r="F63" s="20" t="s">
        <v>109</v>
      </c>
      <c r="G63" s="19" t="s">
        <v>64</v>
      </c>
      <c r="H63" s="19" t="s">
        <v>120</v>
      </c>
      <c r="I63" s="20">
        <v>407</v>
      </c>
      <c r="J63" s="20" t="s">
        <v>110</v>
      </c>
      <c r="K63" s="19" t="s">
        <v>111</v>
      </c>
      <c r="L63" s="21">
        <v>46303</v>
      </c>
      <c r="M63" s="30"/>
    </row>
    <row r="64" spans="1:13" x14ac:dyDescent="0.35">
      <c r="A64" s="2" t="s">
        <v>49</v>
      </c>
      <c r="B64" s="3" t="s">
        <v>106</v>
      </c>
      <c r="C64" s="3" t="s">
        <v>124</v>
      </c>
      <c r="D64" s="3" t="s">
        <v>108</v>
      </c>
      <c r="E64" s="3" t="s">
        <v>30</v>
      </c>
      <c r="F64" s="5" t="s">
        <v>109</v>
      </c>
      <c r="G64" s="3" t="s">
        <v>64</v>
      </c>
      <c r="H64" s="3" t="s">
        <v>120</v>
      </c>
      <c r="I64" s="5">
        <v>407</v>
      </c>
      <c r="J64" s="5" t="s">
        <v>110</v>
      </c>
      <c r="K64" s="3" t="s">
        <v>111</v>
      </c>
      <c r="L64" s="6">
        <v>46303</v>
      </c>
      <c r="M64" s="30"/>
    </row>
    <row r="65" spans="1:13" x14ac:dyDescent="0.35">
      <c r="A65" s="22" t="s">
        <v>49</v>
      </c>
      <c r="B65" s="23" t="s">
        <v>106</v>
      </c>
      <c r="C65" s="23" t="s">
        <v>125</v>
      </c>
      <c r="D65" s="23" t="s">
        <v>108</v>
      </c>
      <c r="E65" s="23" t="s">
        <v>30</v>
      </c>
      <c r="F65" s="24" t="s">
        <v>109</v>
      </c>
      <c r="G65" s="23" t="s">
        <v>64</v>
      </c>
      <c r="H65" s="23" t="s">
        <v>120</v>
      </c>
      <c r="I65" s="24">
        <v>407</v>
      </c>
      <c r="J65" s="24" t="s">
        <v>110</v>
      </c>
      <c r="K65" s="23" t="s">
        <v>111</v>
      </c>
      <c r="L65" s="25">
        <v>46303</v>
      </c>
      <c r="M65" s="30"/>
    </row>
    <row r="66" spans="1:13" x14ac:dyDescent="0.35">
      <c r="A66" s="2" t="s">
        <v>49</v>
      </c>
      <c r="B66" s="3" t="s">
        <v>106</v>
      </c>
      <c r="C66" s="3" t="s">
        <v>126</v>
      </c>
      <c r="D66" s="3" t="s">
        <v>108</v>
      </c>
      <c r="E66" s="3" t="s">
        <v>30</v>
      </c>
      <c r="F66" s="5" t="s">
        <v>109</v>
      </c>
      <c r="G66" s="3" t="s">
        <v>64</v>
      </c>
      <c r="H66" s="3" t="s">
        <v>127</v>
      </c>
      <c r="I66" s="5">
        <v>407</v>
      </c>
      <c r="J66" s="5" t="s">
        <v>110</v>
      </c>
      <c r="K66" s="3" t="s">
        <v>111</v>
      </c>
      <c r="L66" s="6">
        <v>46303</v>
      </c>
      <c r="M66" s="30"/>
    </row>
    <row r="67" spans="1:13" x14ac:dyDescent="0.35">
      <c r="A67" s="2" t="s">
        <v>49</v>
      </c>
      <c r="B67" s="3" t="s">
        <v>98</v>
      </c>
      <c r="C67" s="3" t="s">
        <v>129</v>
      </c>
      <c r="D67" s="3" t="s">
        <v>108</v>
      </c>
      <c r="E67" s="3" t="s">
        <v>30</v>
      </c>
      <c r="F67" s="3" t="s">
        <v>100</v>
      </c>
      <c r="G67" s="3" t="s">
        <v>64</v>
      </c>
      <c r="H67" s="3" t="s">
        <v>127</v>
      </c>
      <c r="I67" s="5">
        <v>450</v>
      </c>
      <c r="J67" s="5" t="s">
        <v>110</v>
      </c>
      <c r="K67" s="3" t="s">
        <v>130</v>
      </c>
      <c r="L67" s="6">
        <v>46303</v>
      </c>
      <c r="M67" s="30"/>
    </row>
    <row r="68" spans="1:13" x14ac:dyDescent="0.35">
      <c r="A68" s="26" t="s">
        <v>49</v>
      </c>
      <c r="B68" s="27" t="s">
        <v>98</v>
      </c>
      <c r="C68" s="27" t="s">
        <v>131</v>
      </c>
      <c r="D68" s="27" t="s">
        <v>108</v>
      </c>
      <c r="E68" s="27" t="s">
        <v>30</v>
      </c>
      <c r="F68" s="27" t="s">
        <v>100</v>
      </c>
      <c r="G68" s="27" t="s">
        <v>64</v>
      </c>
      <c r="H68" s="27" t="s">
        <v>127</v>
      </c>
      <c r="I68" s="28">
        <v>450</v>
      </c>
      <c r="J68" s="28" t="s">
        <v>110</v>
      </c>
      <c r="K68" s="27" t="s">
        <v>130</v>
      </c>
      <c r="L68" s="29">
        <v>46303</v>
      </c>
      <c r="M68" s="30"/>
    </row>
    <row r="69" spans="1:13" x14ac:dyDescent="0.35">
      <c r="A69" s="18" t="s">
        <v>49</v>
      </c>
      <c r="B69" s="19" t="s">
        <v>98</v>
      </c>
      <c r="C69" s="19" t="s">
        <v>132</v>
      </c>
      <c r="D69" s="19" t="s">
        <v>108</v>
      </c>
      <c r="E69" s="19" t="s">
        <v>30</v>
      </c>
      <c r="F69" s="19" t="s">
        <v>100</v>
      </c>
      <c r="G69" s="19" t="s">
        <v>64</v>
      </c>
      <c r="H69" s="19" t="s">
        <v>127</v>
      </c>
      <c r="I69" s="20">
        <v>450</v>
      </c>
      <c r="J69" s="20" t="s">
        <v>110</v>
      </c>
      <c r="K69" s="19" t="s">
        <v>130</v>
      </c>
      <c r="L69" s="21">
        <v>46303</v>
      </c>
      <c r="M69" s="30"/>
    </row>
    <row r="70" spans="1:13" x14ac:dyDescent="0.35">
      <c r="A70" s="2" t="s">
        <v>49</v>
      </c>
      <c r="B70" s="3" t="s">
        <v>98</v>
      </c>
      <c r="C70" s="3" t="s">
        <v>133</v>
      </c>
      <c r="D70" s="3" t="s">
        <v>108</v>
      </c>
      <c r="E70" s="3" t="s">
        <v>30</v>
      </c>
      <c r="F70" s="3" t="s">
        <v>100</v>
      </c>
      <c r="G70" s="3" t="s">
        <v>64</v>
      </c>
      <c r="H70" s="3" t="s">
        <v>65</v>
      </c>
      <c r="I70" s="5">
        <v>450</v>
      </c>
      <c r="J70" s="5" t="s">
        <v>110</v>
      </c>
      <c r="K70" s="3" t="s">
        <v>130</v>
      </c>
      <c r="L70" s="6">
        <v>46303</v>
      </c>
      <c r="M70" s="30"/>
    </row>
    <row r="71" spans="1:13" x14ac:dyDescent="0.35">
      <c r="A71" s="2" t="s">
        <v>49</v>
      </c>
      <c r="B71" s="3" t="s">
        <v>50</v>
      </c>
      <c r="C71" s="3" t="s">
        <v>144</v>
      </c>
      <c r="D71" s="3" t="s">
        <v>137</v>
      </c>
      <c r="E71" s="3" t="s">
        <v>30</v>
      </c>
      <c r="F71" s="5" t="s">
        <v>53</v>
      </c>
      <c r="G71" s="3" t="s">
        <v>64</v>
      </c>
      <c r="H71" s="3" t="s">
        <v>65</v>
      </c>
      <c r="I71" s="5">
        <v>249</v>
      </c>
      <c r="J71" s="5" t="s">
        <v>110</v>
      </c>
      <c r="K71" s="3" t="s">
        <v>145</v>
      </c>
      <c r="L71" s="6">
        <v>46303</v>
      </c>
      <c r="M71" s="30"/>
    </row>
    <row r="72" spans="1:13" x14ac:dyDescent="0.35">
      <c r="A72" s="2" t="s">
        <v>49</v>
      </c>
      <c r="B72" s="3" t="s">
        <v>50</v>
      </c>
      <c r="C72" s="3" t="s">
        <v>150</v>
      </c>
      <c r="D72" s="3" t="s">
        <v>137</v>
      </c>
      <c r="E72" s="3" t="s">
        <v>30</v>
      </c>
      <c r="F72" s="5" t="s">
        <v>151</v>
      </c>
      <c r="G72" s="3" t="s">
        <v>64</v>
      </c>
      <c r="H72" s="3" t="s">
        <v>65</v>
      </c>
      <c r="I72" s="5">
        <v>425</v>
      </c>
      <c r="J72" s="5" t="s">
        <v>110</v>
      </c>
      <c r="K72" s="3" t="s">
        <v>152</v>
      </c>
      <c r="L72" s="6">
        <v>46303</v>
      </c>
      <c r="M72" s="30"/>
    </row>
    <row r="73" spans="1:13" x14ac:dyDescent="0.35">
      <c r="A73" s="2" t="s">
        <v>49</v>
      </c>
      <c r="B73" s="3" t="s">
        <v>50</v>
      </c>
      <c r="C73" s="3" t="s">
        <v>153</v>
      </c>
      <c r="D73" s="3" t="s">
        <v>137</v>
      </c>
      <c r="E73" s="3" t="s">
        <v>30</v>
      </c>
      <c r="F73" s="5" t="s">
        <v>53</v>
      </c>
      <c r="G73" s="3" t="s">
        <v>64</v>
      </c>
      <c r="H73" s="3" t="s">
        <v>65</v>
      </c>
      <c r="I73" s="5">
        <v>249</v>
      </c>
      <c r="J73" s="5" t="s">
        <v>110</v>
      </c>
      <c r="K73" s="3" t="s">
        <v>145</v>
      </c>
      <c r="L73" s="6">
        <v>46303</v>
      </c>
      <c r="M73" s="30"/>
    </row>
    <row r="74" spans="1:13" x14ac:dyDescent="0.35">
      <c r="A74" s="26" t="s">
        <v>49</v>
      </c>
      <c r="B74" s="27" t="s">
        <v>154</v>
      </c>
      <c r="C74" s="27" t="s">
        <v>155</v>
      </c>
      <c r="D74" s="27" t="s">
        <v>137</v>
      </c>
      <c r="E74" s="27" t="s">
        <v>30</v>
      </c>
      <c r="F74" s="28" t="s">
        <v>156</v>
      </c>
      <c r="G74" s="27" t="s">
        <v>64</v>
      </c>
      <c r="H74" s="27" t="s">
        <v>65</v>
      </c>
      <c r="I74" s="28">
        <v>375</v>
      </c>
      <c r="J74" s="28" t="s">
        <v>110</v>
      </c>
      <c r="K74" s="27" t="s">
        <v>157</v>
      </c>
      <c r="L74" s="29">
        <v>46303</v>
      </c>
      <c r="M74" s="30"/>
    </row>
    <row r="75" spans="1:13" x14ac:dyDescent="0.35">
      <c r="A75" s="2" t="s">
        <v>49</v>
      </c>
      <c r="B75" s="3" t="s">
        <v>213</v>
      </c>
      <c r="C75" s="3" t="s">
        <v>217</v>
      </c>
      <c r="D75" s="3" t="s">
        <v>62</v>
      </c>
      <c r="E75" s="3" t="s">
        <v>30</v>
      </c>
      <c r="F75" s="3" t="s">
        <v>215</v>
      </c>
      <c r="G75" s="3" t="s">
        <v>64</v>
      </c>
      <c r="H75" s="3" t="s">
        <v>65</v>
      </c>
      <c r="I75" s="5">
        <v>1540</v>
      </c>
      <c r="J75" s="3" t="s">
        <v>40</v>
      </c>
      <c r="K75" s="3" t="s">
        <v>216</v>
      </c>
      <c r="L75" s="6">
        <v>46303</v>
      </c>
      <c r="M75" s="30"/>
    </row>
    <row r="76" spans="1:13" x14ac:dyDescent="0.35">
      <c r="A76" s="18" t="s">
        <v>49</v>
      </c>
      <c r="B76" s="19" t="s">
        <v>213</v>
      </c>
      <c r="C76" s="19" t="s">
        <v>218</v>
      </c>
      <c r="D76" s="19" t="s">
        <v>62</v>
      </c>
      <c r="E76" s="19" t="s">
        <v>30</v>
      </c>
      <c r="F76" s="19" t="s">
        <v>215</v>
      </c>
      <c r="G76" s="19" t="s">
        <v>64</v>
      </c>
      <c r="H76" s="19" t="s">
        <v>65</v>
      </c>
      <c r="I76" s="20">
        <v>1540</v>
      </c>
      <c r="J76" s="19" t="s">
        <v>40</v>
      </c>
      <c r="K76" s="19" t="s">
        <v>216</v>
      </c>
      <c r="L76" s="21">
        <v>46303</v>
      </c>
      <c r="M76" s="30"/>
    </row>
    <row r="77" spans="1:13" x14ac:dyDescent="0.35">
      <c r="A77" s="2" t="s">
        <v>49</v>
      </c>
      <c r="B77" s="3" t="s">
        <v>213</v>
      </c>
      <c r="C77" s="3" t="s">
        <v>220</v>
      </c>
      <c r="D77" s="3" t="s">
        <v>62</v>
      </c>
      <c r="E77" s="3" t="s">
        <v>30</v>
      </c>
      <c r="F77" s="3" t="s">
        <v>215</v>
      </c>
      <c r="G77" s="3" t="s">
        <v>64</v>
      </c>
      <c r="H77" s="3" t="s">
        <v>120</v>
      </c>
      <c r="I77" s="5">
        <v>1540</v>
      </c>
      <c r="J77" s="3" t="s">
        <v>40</v>
      </c>
      <c r="K77" s="3" t="s">
        <v>216</v>
      </c>
      <c r="L77" s="6">
        <v>46303</v>
      </c>
      <c r="M77" s="30"/>
    </row>
    <row r="78" spans="1:13" x14ac:dyDescent="0.35">
      <c r="A78" s="26" t="s">
        <v>49</v>
      </c>
      <c r="B78" s="27" t="s">
        <v>50</v>
      </c>
      <c r="C78" s="27" t="s">
        <v>51</v>
      </c>
      <c r="D78" s="27" t="s">
        <v>52</v>
      </c>
      <c r="E78" s="28" t="s">
        <v>30</v>
      </c>
      <c r="F78" s="28" t="s">
        <v>53</v>
      </c>
      <c r="G78" s="27" t="s">
        <v>54</v>
      </c>
      <c r="H78" s="27" t="s">
        <v>55</v>
      </c>
      <c r="I78" s="28">
        <v>249</v>
      </c>
      <c r="J78" s="28" t="s">
        <v>56</v>
      </c>
      <c r="K78" s="27" t="s">
        <v>57</v>
      </c>
      <c r="L78" s="29">
        <v>46304</v>
      </c>
      <c r="M78" s="30"/>
    </row>
    <row r="79" spans="1:13" x14ac:dyDescent="0.35">
      <c r="A79" s="2" t="s">
        <v>49</v>
      </c>
      <c r="B79" s="3" t="s">
        <v>50</v>
      </c>
      <c r="C79" s="3" t="s">
        <v>58</v>
      </c>
      <c r="D79" s="3" t="s">
        <v>52</v>
      </c>
      <c r="E79" s="5" t="s">
        <v>30</v>
      </c>
      <c r="F79" s="5" t="s">
        <v>53</v>
      </c>
      <c r="G79" s="3" t="s">
        <v>54</v>
      </c>
      <c r="H79" s="3" t="s">
        <v>55</v>
      </c>
      <c r="I79" s="5">
        <v>249</v>
      </c>
      <c r="J79" s="5" t="s">
        <v>56</v>
      </c>
      <c r="K79" s="3" t="s">
        <v>57</v>
      </c>
      <c r="L79" s="6">
        <v>46304</v>
      </c>
      <c r="M79" s="30"/>
    </row>
    <row r="80" spans="1:13" x14ac:dyDescent="0.35">
      <c r="A80" s="2" t="s">
        <v>49</v>
      </c>
      <c r="B80" s="3" t="s">
        <v>50</v>
      </c>
      <c r="C80" s="3" t="s">
        <v>59</v>
      </c>
      <c r="D80" s="3" t="s">
        <v>52</v>
      </c>
      <c r="E80" s="5" t="s">
        <v>30</v>
      </c>
      <c r="F80" s="5" t="s">
        <v>53</v>
      </c>
      <c r="G80" s="3" t="s">
        <v>54</v>
      </c>
      <c r="H80" s="3" t="s">
        <v>55</v>
      </c>
      <c r="I80" s="5">
        <v>249</v>
      </c>
      <c r="J80" s="5" t="s">
        <v>56</v>
      </c>
      <c r="K80" s="3" t="s">
        <v>57</v>
      </c>
      <c r="L80" s="6">
        <v>46304</v>
      </c>
      <c r="M80" s="30"/>
    </row>
    <row r="81" spans="1:13" x14ac:dyDescent="0.35">
      <c r="A81" s="2" t="s">
        <v>49</v>
      </c>
      <c r="B81" s="3" t="s">
        <v>32</v>
      </c>
      <c r="C81" s="3" t="s">
        <v>89</v>
      </c>
      <c r="D81" s="3" t="s">
        <v>16</v>
      </c>
      <c r="E81" s="3" t="s">
        <v>17</v>
      </c>
      <c r="F81" s="5" t="s">
        <v>90</v>
      </c>
      <c r="G81" s="3" t="s">
        <v>19</v>
      </c>
      <c r="H81" s="3" t="s">
        <v>20</v>
      </c>
      <c r="I81" s="5">
        <v>38</v>
      </c>
      <c r="J81" s="5" t="s">
        <v>91</v>
      </c>
      <c r="K81" s="3" t="s">
        <v>92</v>
      </c>
      <c r="L81" s="6">
        <v>46304</v>
      </c>
      <c r="M81" s="30"/>
    </row>
    <row r="82" spans="1:13" x14ac:dyDescent="0.35">
      <c r="A82" s="2" t="s">
        <v>49</v>
      </c>
      <c r="B82" s="3" t="s">
        <v>32</v>
      </c>
      <c r="C82" s="3" t="s">
        <v>97</v>
      </c>
      <c r="D82" s="3" t="s">
        <v>16</v>
      </c>
      <c r="E82" s="3" t="s">
        <v>17</v>
      </c>
      <c r="F82" s="5" t="s">
        <v>90</v>
      </c>
      <c r="G82" s="3" t="s">
        <v>19</v>
      </c>
      <c r="H82" s="3" t="s">
        <v>20</v>
      </c>
      <c r="I82" s="5">
        <v>38</v>
      </c>
      <c r="J82" s="5" t="s">
        <v>91</v>
      </c>
      <c r="K82" s="3" t="s">
        <v>92</v>
      </c>
      <c r="L82" s="6">
        <v>46304</v>
      </c>
      <c r="M82" s="30"/>
    </row>
    <row r="83" spans="1:13" x14ac:dyDescent="0.35">
      <c r="A83" s="2" t="s">
        <v>49</v>
      </c>
      <c r="B83" s="3" t="s">
        <v>32</v>
      </c>
      <c r="C83" s="3" t="s">
        <v>102</v>
      </c>
      <c r="D83" s="3" t="s">
        <v>16</v>
      </c>
      <c r="E83" s="3" t="s">
        <v>17</v>
      </c>
      <c r="F83" s="5" t="s">
        <v>90</v>
      </c>
      <c r="G83" s="3" t="s">
        <v>19</v>
      </c>
      <c r="H83" s="3" t="s">
        <v>20</v>
      </c>
      <c r="I83" s="5">
        <v>38</v>
      </c>
      <c r="J83" s="5" t="s">
        <v>91</v>
      </c>
      <c r="K83" s="3" t="s">
        <v>92</v>
      </c>
      <c r="L83" s="6">
        <v>46304</v>
      </c>
      <c r="M83" s="30"/>
    </row>
    <row r="84" spans="1:13" x14ac:dyDescent="0.35">
      <c r="A84" s="2" t="s">
        <v>49</v>
      </c>
      <c r="B84" s="3" t="s">
        <v>32</v>
      </c>
      <c r="C84" s="3" t="s">
        <v>103</v>
      </c>
      <c r="D84" s="3" t="s">
        <v>16</v>
      </c>
      <c r="E84" s="3" t="s">
        <v>17</v>
      </c>
      <c r="F84" s="5" t="s">
        <v>90</v>
      </c>
      <c r="G84" s="3" t="s">
        <v>19</v>
      </c>
      <c r="H84" s="3" t="s">
        <v>20</v>
      </c>
      <c r="I84" s="5">
        <v>38</v>
      </c>
      <c r="J84" s="5" t="s">
        <v>91</v>
      </c>
      <c r="K84" s="3" t="s">
        <v>92</v>
      </c>
      <c r="L84" s="6">
        <v>46304</v>
      </c>
      <c r="M84" s="30"/>
    </row>
    <row r="85" spans="1:13" x14ac:dyDescent="0.35">
      <c r="A85" s="2" t="s">
        <v>49</v>
      </c>
      <c r="B85" s="3" t="s">
        <v>32</v>
      </c>
      <c r="C85" s="3" t="s">
        <v>104</v>
      </c>
      <c r="D85" s="3" t="s">
        <v>16</v>
      </c>
      <c r="E85" s="3" t="s">
        <v>17</v>
      </c>
      <c r="F85" s="5" t="s">
        <v>105</v>
      </c>
      <c r="G85" s="3" t="s">
        <v>19</v>
      </c>
      <c r="H85" s="3" t="s">
        <v>20</v>
      </c>
      <c r="I85" s="5">
        <v>32</v>
      </c>
      <c r="J85" s="5" t="s">
        <v>91</v>
      </c>
      <c r="K85" s="3" t="s">
        <v>92</v>
      </c>
      <c r="L85" s="6">
        <v>46304</v>
      </c>
      <c r="M85" s="30"/>
    </row>
    <row r="86" spans="1:13" x14ac:dyDescent="0.35">
      <c r="A86" s="2" t="s">
        <v>49</v>
      </c>
      <c r="B86" s="3" t="s">
        <v>60</v>
      </c>
      <c r="C86" s="3" t="s">
        <v>121</v>
      </c>
      <c r="D86" s="3" t="s">
        <v>108</v>
      </c>
      <c r="E86" s="4"/>
      <c r="F86" s="4"/>
      <c r="G86" s="3" t="s">
        <v>64</v>
      </c>
      <c r="H86" s="4"/>
      <c r="I86" s="4"/>
      <c r="J86" s="4"/>
      <c r="K86" s="4"/>
      <c r="L86" s="6">
        <v>46304</v>
      </c>
      <c r="M86" s="30"/>
    </row>
    <row r="87" spans="1:13" x14ac:dyDescent="0.35">
      <c r="A87" s="2" t="s">
        <v>49</v>
      </c>
      <c r="B87" s="3" t="s">
        <v>165</v>
      </c>
      <c r="C87" s="3" t="s">
        <v>207</v>
      </c>
      <c r="D87" s="3" t="s">
        <v>163</v>
      </c>
      <c r="E87" s="5" t="s">
        <v>26</v>
      </c>
      <c r="F87" s="3" t="s">
        <v>222</v>
      </c>
      <c r="G87" s="4"/>
      <c r="H87" s="4"/>
      <c r="I87" s="4"/>
      <c r="J87" s="4"/>
      <c r="K87" s="4"/>
      <c r="L87" s="6">
        <v>46304</v>
      </c>
      <c r="M87" s="30"/>
    </row>
    <row r="88" spans="1:13" x14ac:dyDescent="0.35">
      <c r="A88" s="2" t="s">
        <v>49</v>
      </c>
      <c r="B88" s="3" t="s">
        <v>146</v>
      </c>
      <c r="C88" s="3" t="s">
        <v>208</v>
      </c>
      <c r="D88" s="3" t="s">
        <v>163</v>
      </c>
      <c r="E88" s="5" t="s">
        <v>26</v>
      </c>
      <c r="F88" s="3" t="s">
        <v>222</v>
      </c>
      <c r="G88" s="4"/>
      <c r="H88" s="4"/>
      <c r="I88" s="4"/>
      <c r="J88" s="4"/>
      <c r="K88" s="4"/>
      <c r="L88" s="6">
        <v>46304</v>
      </c>
      <c r="M88" s="30"/>
    </row>
  </sheetData>
  <autoFilter ref="A1:L88" xr:uid="{DA8844B7-9F50-418F-A28C-388C1BB12BF9}"/>
  <sortState xmlns:xlrd2="http://schemas.microsoft.com/office/spreadsheetml/2017/richdata2" ref="A2:M89">
    <sortCondition ref="L1:L89"/>
  </sortState>
  <hyperlinks>
    <hyperlink ref="E13" r:id="rId1" display="https://maps.app.goo.gl/keeRuYrVapcUMYN26" xr:uid="{FD575795-B282-4B26-ABF3-0BDB841575CE}"/>
    <hyperlink ref="E51" r:id="rId2" display="https://www.google.com/url?q=https://www.google.com/maps/search/Monterrey%25C2%25A0%2B(AV%2BVASCONCELOS%2B660?entry%3Dgmail%26source%3Dg&amp;source=gmail-imap&amp;ust=1791324979000000&amp;usg=AOvVaw3FweRPNnTxFIf5iYDgSMSF" xr:uid="{CBF54C20-15A0-4CFB-A5EC-CECA6E445657}"/>
    <hyperlink ref="E14" r:id="rId3" display="https://www.google.com/url?q=https://www.google.com/maps/search/Tijuana%2B(Av.%2BPadre%2BKino%2BNo.10102%2Binterior%2B1?entry%3Dgmail%26source%3Dg&amp;source=gmail-imap&amp;ust=1791324979000000&amp;usg=AOvVaw0UIPji4YFZxUM4l3x5x3qw" xr:uid="{B75C2FED-A7D5-43B0-B926-BD658EE92DE4}"/>
    <hyperlink ref="E35" r:id="rId4" display="https://maps.app.goo.gl/TpELmNBvHQ2Fja6c8)" xr:uid="{CD9F0B79-318E-4741-9DCC-A784BCFDAEB4}"/>
    <hyperlink ref="E36" r:id="rId5" xr:uid="{98A9F382-E9A9-458D-ACF9-9B2A99AED5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5A87-4685-4D46-AA3F-82672F0F5002}">
  <dimension ref="A1:K67"/>
  <sheetViews>
    <sheetView tabSelected="1" topLeftCell="A57" workbookViewId="0">
      <selection activeCell="D47" sqref="D47:D66"/>
    </sheetView>
  </sheetViews>
  <sheetFormatPr baseColWidth="10" defaultRowHeight="14.5" x14ac:dyDescent="0.35"/>
  <cols>
    <col min="2" max="2" width="29.453125" bestFit="1" customWidth="1"/>
    <col min="3" max="3" width="17.6328125" bestFit="1" customWidth="1"/>
    <col min="4" max="4" width="19.7265625" bestFit="1" customWidth="1"/>
    <col min="5" max="5" width="18.7265625" bestFit="1" customWidth="1"/>
    <col min="6" max="6" width="18.26953125" bestFit="1" customWidth="1"/>
    <col min="7" max="7" width="14.453125" bestFit="1" customWidth="1"/>
    <col min="8" max="8" width="13.26953125" bestFit="1" customWidth="1"/>
    <col min="9" max="9" width="12.1796875" bestFit="1" customWidth="1"/>
    <col min="11" max="11" width="12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</row>
    <row r="2" spans="1:11" x14ac:dyDescent="0.35">
      <c r="A2" s="2" t="s">
        <v>13</v>
      </c>
      <c r="B2" s="3" t="s">
        <v>60</v>
      </c>
      <c r="C2" s="3" t="s">
        <v>85</v>
      </c>
      <c r="D2" s="3" t="s">
        <v>16</v>
      </c>
      <c r="E2" s="3" t="s">
        <v>17</v>
      </c>
      <c r="F2" s="3" t="s">
        <v>86</v>
      </c>
      <c r="G2" s="3" t="s">
        <v>19</v>
      </c>
      <c r="H2" s="3" t="s">
        <v>20</v>
      </c>
      <c r="I2" s="5">
        <v>1891</v>
      </c>
      <c r="J2" s="35">
        <v>20</v>
      </c>
      <c r="K2" s="36">
        <f t="shared" ref="K2:K9" si="0">I2*J2</f>
        <v>37820</v>
      </c>
    </row>
    <row r="3" spans="1:11" x14ac:dyDescent="0.35">
      <c r="A3" s="2" t="s">
        <v>13</v>
      </c>
      <c r="B3" s="3" t="s">
        <v>60</v>
      </c>
      <c r="C3" s="3" t="s">
        <v>87</v>
      </c>
      <c r="D3" s="3" t="s">
        <v>16</v>
      </c>
      <c r="E3" s="3" t="s">
        <v>17</v>
      </c>
      <c r="F3" s="3" t="s">
        <v>86</v>
      </c>
      <c r="G3" s="3" t="s">
        <v>19</v>
      </c>
      <c r="H3" s="3" t="s">
        <v>20</v>
      </c>
      <c r="I3" s="5">
        <v>1891</v>
      </c>
      <c r="J3" s="35">
        <v>20</v>
      </c>
      <c r="K3" s="36">
        <f t="shared" si="0"/>
        <v>37820</v>
      </c>
    </row>
    <row r="4" spans="1:11" x14ac:dyDescent="0.35">
      <c r="A4" s="2" t="s">
        <v>13</v>
      </c>
      <c r="B4" s="3" t="s">
        <v>60</v>
      </c>
      <c r="C4" s="3" t="s">
        <v>88</v>
      </c>
      <c r="D4" s="3" t="s">
        <v>16</v>
      </c>
      <c r="E4" s="3" t="s">
        <v>17</v>
      </c>
      <c r="F4" s="3" t="s">
        <v>86</v>
      </c>
      <c r="G4" s="3" t="s">
        <v>19</v>
      </c>
      <c r="H4" s="3" t="s">
        <v>20</v>
      </c>
      <c r="I4" s="5">
        <v>1891</v>
      </c>
      <c r="J4" s="35">
        <v>20</v>
      </c>
      <c r="K4" s="36">
        <f t="shared" si="0"/>
        <v>37820</v>
      </c>
    </row>
    <row r="5" spans="1:11" x14ac:dyDescent="0.35">
      <c r="A5" s="2" t="s">
        <v>13</v>
      </c>
      <c r="B5" s="3" t="s">
        <v>60</v>
      </c>
      <c r="C5" s="3" t="s">
        <v>93</v>
      </c>
      <c r="D5" s="3" t="s">
        <v>16</v>
      </c>
      <c r="E5" s="3" t="s">
        <v>17</v>
      </c>
      <c r="F5" s="3" t="s">
        <v>94</v>
      </c>
      <c r="G5" s="3" t="s">
        <v>19</v>
      </c>
      <c r="H5" s="3" t="s">
        <v>20</v>
      </c>
      <c r="I5" s="5">
        <v>2241</v>
      </c>
      <c r="J5" s="35">
        <v>20</v>
      </c>
      <c r="K5" s="36">
        <f t="shared" si="0"/>
        <v>44820</v>
      </c>
    </row>
    <row r="6" spans="1:11" x14ac:dyDescent="0.35">
      <c r="A6" s="2" t="s">
        <v>13</v>
      </c>
      <c r="B6" s="3" t="s">
        <v>60</v>
      </c>
      <c r="C6" s="3" t="s">
        <v>95</v>
      </c>
      <c r="D6" s="3" t="s">
        <v>16</v>
      </c>
      <c r="E6" s="3" t="s">
        <v>17</v>
      </c>
      <c r="F6" s="3" t="s">
        <v>94</v>
      </c>
      <c r="G6" s="3" t="s">
        <v>19</v>
      </c>
      <c r="H6" s="3" t="s">
        <v>20</v>
      </c>
      <c r="I6" s="5">
        <v>2241</v>
      </c>
      <c r="J6" s="35">
        <v>20</v>
      </c>
      <c r="K6" s="36">
        <f t="shared" si="0"/>
        <v>44820</v>
      </c>
    </row>
    <row r="7" spans="1:11" x14ac:dyDescent="0.35">
      <c r="A7" s="2" t="s">
        <v>13</v>
      </c>
      <c r="B7" s="3" t="s">
        <v>60</v>
      </c>
      <c r="C7" s="3" t="s">
        <v>96</v>
      </c>
      <c r="D7" s="3" t="s">
        <v>16</v>
      </c>
      <c r="E7" s="3" t="s">
        <v>17</v>
      </c>
      <c r="F7" s="3" t="s">
        <v>86</v>
      </c>
      <c r="G7" s="3" t="s">
        <v>19</v>
      </c>
      <c r="H7" s="3" t="s">
        <v>20</v>
      </c>
      <c r="I7" s="5">
        <v>1891</v>
      </c>
      <c r="J7" s="35">
        <v>20</v>
      </c>
      <c r="K7" s="36">
        <f t="shared" si="0"/>
        <v>37820</v>
      </c>
    </row>
    <row r="8" spans="1:11" x14ac:dyDescent="0.35">
      <c r="A8" s="2" t="s">
        <v>13</v>
      </c>
      <c r="B8" s="3" t="s">
        <v>98</v>
      </c>
      <c r="C8" s="3" t="s">
        <v>99</v>
      </c>
      <c r="D8" s="3" t="s">
        <v>16</v>
      </c>
      <c r="E8" s="3" t="s">
        <v>17</v>
      </c>
      <c r="F8" s="3" t="s">
        <v>100</v>
      </c>
      <c r="G8" s="3" t="s">
        <v>19</v>
      </c>
      <c r="H8" s="3" t="s">
        <v>20</v>
      </c>
      <c r="I8" s="5">
        <v>533</v>
      </c>
      <c r="J8" s="35">
        <v>20</v>
      </c>
      <c r="K8" s="36">
        <f t="shared" si="0"/>
        <v>10660</v>
      </c>
    </row>
    <row r="9" spans="1:11" x14ac:dyDescent="0.35">
      <c r="A9" s="2" t="s">
        <v>13</v>
      </c>
      <c r="B9" s="3" t="s">
        <v>98</v>
      </c>
      <c r="C9" s="3" t="s">
        <v>101</v>
      </c>
      <c r="D9" s="3" t="s">
        <v>16</v>
      </c>
      <c r="E9" s="3" t="s">
        <v>17</v>
      </c>
      <c r="F9" s="3" t="s">
        <v>100</v>
      </c>
      <c r="G9" s="3" t="s">
        <v>19</v>
      </c>
      <c r="H9" s="3" t="s">
        <v>20</v>
      </c>
      <c r="I9" s="5">
        <v>533</v>
      </c>
      <c r="J9" s="35">
        <v>20</v>
      </c>
      <c r="K9" s="36">
        <f t="shared" si="0"/>
        <v>10660</v>
      </c>
    </row>
    <row r="10" spans="1:11" x14ac:dyDescent="0.35">
      <c r="K10" s="44">
        <f>SUM(K2:K9)</f>
        <v>262240</v>
      </c>
    </row>
    <row r="14" spans="1:11" ht="15" thickBot="1" x14ac:dyDescent="0.4"/>
    <row r="15" spans="1:11" x14ac:dyDescent="0.35">
      <c r="B15" s="47" t="s">
        <v>6</v>
      </c>
      <c r="C15" s="47" t="s">
        <v>7</v>
      </c>
      <c r="D15" s="47" t="s">
        <v>3</v>
      </c>
      <c r="E15" s="45" t="s">
        <v>4</v>
      </c>
      <c r="F15" s="1" t="s">
        <v>5</v>
      </c>
      <c r="G15" s="1" t="s">
        <v>8</v>
      </c>
      <c r="H15" s="8" t="s">
        <v>9</v>
      </c>
      <c r="I15" s="8" t="s">
        <v>10</v>
      </c>
    </row>
    <row r="16" spans="1:11" x14ac:dyDescent="0.35">
      <c r="B16" s="38" t="s">
        <v>19</v>
      </c>
      <c r="C16" s="38" t="s">
        <v>20</v>
      </c>
      <c r="D16" s="38" t="s">
        <v>16</v>
      </c>
      <c r="E16" s="46" t="s">
        <v>17</v>
      </c>
      <c r="F16" s="3" t="s">
        <v>100</v>
      </c>
      <c r="G16" s="5">
        <v>533</v>
      </c>
      <c r="H16" s="35">
        <v>20</v>
      </c>
      <c r="I16" s="36">
        <f>G16*H16</f>
        <v>10660</v>
      </c>
    </row>
    <row r="17" spans="2:11" x14ac:dyDescent="0.35">
      <c r="B17" s="38"/>
      <c r="C17" s="38"/>
      <c r="D17" s="38"/>
      <c r="E17" s="46" t="s">
        <v>17</v>
      </c>
      <c r="F17" s="3" t="s">
        <v>100</v>
      </c>
      <c r="G17" s="5">
        <v>533</v>
      </c>
      <c r="H17" s="35">
        <v>20</v>
      </c>
      <c r="I17" s="36">
        <f t="shared" ref="I17:I31" si="1">G17*H17</f>
        <v>10660</v>
      </c>
    </row>
    <row r="18" spans="2:11" x14ac:dyDescent="0.35">
      <c r="B18" s="38"/>
      <c r="C18" s="38"/>
      <c r="D18" s="38"/>
      <c r="E18" s="46" t="s">
        <v>17</v>
      </c>
      <c r="F18" s="3" t="s">
        <v>100</v>
      </c>
      <c r="G18" s="5">
        <v>533</v>
      </c>
      <c r="H18" s="35">
        <v>20</v>
      </c>
      <c r="I18" s="36">
        <f t="shared" si="1"/>
        <v>10660</v>
      </c>
    </row>
    <row r="19" spans="2:11" x14ac:dyDescent="0.35">
      <c r="B19" s="38"/>
      <c r="C19" s="38"/>
      <c r="D19" s="38"/>
      <c r="E19" s="46" t="s">
        <v>17</v>
      </c>
      <c r="F19" s="3" t="s">
        <v>100</v>
      </c>
      <c r="G19" s="5">
        <v>533</v>
      </c>
      <c r="H19" s="35">
        <v>20</v>
      </c>
      <c r="I19" s="36">
        <f t="shared" si="1"/>
        <v>10660</v>
      </c>
    </row>
    <row r="20" spans="2:11" x14ac:dyDescent="0.35">
      <c r="B20" s="38"/>
      <c r="C20" s="38"/>
      <c r="D20" s="38"/>
      <c r="E20" s="46" t="s">
        <v>17</v>
      </c>
      <c r="F20" s="3" t="s">
        <v>100</v>
      </c>
      <c r="G20" s="5">
        <v>533</v>
      </c>
      <c r="H20" s="35">
        <v>20</v>
      </c>
      <c r="I20" s="36">
        <f t="shared" si="1"/>
        <v>10660</v>
      </c>
    </row>
    <row r="21" spans="2:11" x14ac:dyDescent="0.35">
      <c r="B21" s="38"/>
      <c r="C21" s="38"/>
      <c r="D21" s="38"/>
      <c r="E21" s="46" t="s">
        <v>17</v>
      </c>
      <c r="F21" s="3" t="s">
        <v>100</v>
      </c>
      <c r="G21" s="5">
        <v>533</v>
      </c>
      <c r="H21" s="35">
        <v>20</v>
      </c>
      <c r="I21" s="36">
        <f t="shared" si="1"/>
        <v>10660</v>
      </c>
    </row>
    <row r="22" spans="2:11" x14ac:dyDescent="0.35">
      <c r="B22" s="38"/>
      <c r="C22" s="38"/>
      <c r="D22" s="38"/>
      <c r="E22" s="46" t="s">
        <v>17</v>
      </c>
      <c r="F22" s="3" t="s">
        <v>100</v>
      </c>
      <c r="G22" s="5">
        <v>533</v>
      </c>
      <c r="H22" s="35">
        <v>20</v>
      </c>
      <c r="I22" s="36">
        <f t="shared" si="1"/>
        <v>10660</v>
      </c>
    </row>
    <row r="23" spans="2:11" x14ac:dyDescent="0.35">
      <c r="B23" s="38"/>
      <c r="C23" s="38"/>
      <c r="D23" s="38"/>
      <c r="E23" s="46" t="s">
        <v>17</v>
      </c>
      <c r="F23" s="3" t="s">
        <v>100</v>
      </c>
      <c r="G23" s="5">
        <v>533</v>
      </c>
      <c r="H23" s="35">
        <v>20</v>
      </c>
      <c r="I23" s="36">
        <f t="shared" si="1"/>
        <v>10660</v>
      </c>
    </row>
    <row r="24" spans="2:11" x14ac:dyDescent="0.35">
      <c r="B24" s="38"/>
      <c r="C24" s="38"/>
      <c r="D24" s="38"/>
      <c r="E24" s="46" t="s">
        <v>100</v>
      </c>
      <c r="F24" s="3" t="s">
        <v>86</v>
      </c>
      <c r="G24" s="43">
        <v>1363</v>
      </c>
      <c r="H24" s="35">
        <v>22</v>
      </c>
      <c r="I24" s="36">
        <f t="shared" si="1"/>
        <v>29986</v>
      </c>
      <c r="K24" s="37"/>
    </row>
    <row r="25" spans="2:11" x14ac:dyDescent="0.35">
      <c r="B25" s="38"/>
      <c r="C25" s="38"/>
      <c r="D25" s="38"/>
      <c r="E25" s="46" t="s">
        <v>100</v>
      </c>
      <c r="F25" s="3" t="s">
        <v>86</v>
      </c>
      <c r="G25" s="43">
        <v>1363</v>
      </c>
      <c r="H25" s="35">
        <v>22</v>
      </c>
      <c r="I25" s="36">
        <f t="shared" si="1"/>
        <v>29986</v>
      </c>
    </row>
    <row r="26" spans="2:11" x14ac:dyDescent="0.35">
      <c r="B26" s="38"/>
      <c r="C26" s="38"/>
      <c r="D26" s="38"/>
      <c r="E26" s="46" t="s">
        <v>100</v>
      </c>
      <c r="F26" s="3" t="s">
        <v>86</v>
      </c>
      <c r="G26" s="43">
        <v>1363</v>
      </c>
      <c r="H26" s="35">
        <v>22</v>
      </c>
      <c r="I26" s="36">
        <f t="shared" si="1"/>
        <v>29986</v>
      </c>
    </row>
    <row r="27" spans="2:11" x14ac:dyDescent="0.35">
      <c r="B27" s="38"/>
      <c r="C27" s="38"/>
      <c r="D27" s="38"/>
      <c r="E27" s="46" t="s">
        <v>100</v>
      </c>
      <c r="F27" s="3" t="s">
        <v>86</v>
      </c>
      <c r="G27" s="43">
        <v>1363</v>
      </c>
      <c r="H27" s="35">
        <v>22</v>
      </c>
      <c r="I27" s="36">
        <f t="shared" si="1"/>
        <v>29986</v>
      </c>
    </row>
    <row r="28" spans="2:11" x14ac:dyDescent="0.35">
      <c r="B28" s="38"/>
      <c r="C28" s="38"/>
      <c r="D28" s="38"/>
      <c r="E28" s="46" t="s">
        <v>100</v>
      </c>
      <c r="F28" s="3" t="s">
        <v>86</v>
      </c>
      <c r="G28" s="43">
        <v>1363</v>
      </c>
      <c r="H28" s="35">
        <v>22</v>
      </c>
      <c r="I28" s="36">
        <f t="shared" si="1"/>
        <v>29986</v>
      </c>
    </row>
    <row r="29" spans="2:11" x14ac:dyDescent="0.35">
      <c r="B29" s="38"/>
      <c r="C29" s="38"/>
      <c r="D29" s="38"/>
      <c r="E29" s="46" t="s">
        <v>100</v>
      </c>
      <c r="F29" s="3" t="s">
        <v>86</v>
      </c>
      <c r="G29" s="43">
        <v>1363</v>
      </c>
      <c r="H29" s="35">
        <v>22</v>
      </c>
      <c r="I29" s="36">
        <f t="shared" si="1"/>
        <v>29986</v>
      </c>
    </row>
    <row r="30" spans="2:11" x14ac:dyDescent="0.35">
      <c r="B30" s="38"/>
      <c r="C30" s="38"/>
      <c r="D30" s="38"/>
      <c r="E30" s="46" t="s">
        <v>86</v>
      </c>
      <c r="F30" s="3" t="s">
        <v>94</v>
      </c>
      <c r="G30" s="43">
        <v>334</v>
      </c>
      <c r="H30" s="35">
        <v>45</v>
      </c>
      <c r="I30" s="36">
        <f t="shared" si="1"/>
        <v>15030</v>
      </c>
    </row>
    <row r="31" spans="2:11" x14ac:dyDescent="0.35">
      <c r="B31" s="38"/>
      <c r="C31" s="38"/>
      <c r="D31" s="38"/>
      <c r="E31" s="46" t="s">
        <v>86</v>
      </c>
      <c r="F31" s="3" t="s">
        <v>94</v>
      </c>
      <c r="G31" s="43">
        <v>334</v>
      </c>
      <c r="H31" s="35">
        <v>45</v>
      </c>
      <c r="I31" s="36">
        <f t="shared" si="1"/>
        <v>15030</v>
      </c>
    </row>
    <row r="32" spans="2:11" x14ac:dyDescent="0.35">
      <c r="I32" s="52">
        <f>SUM(I16:I31)</f>
        <v>295256</v>
      </c>
    </row>
    <row r="34" spans="1:11" ht="15" thickBot="1" x14ac:dyDescent="0.4"/>
    <row r="35" spans="1:11" ht="15" thickBot="1" x14ac:dyDescent="0.4">
      <c r="B35" s="48" t="s">
        <v>1</v>
      </c>
      <c r="C35" s="48" t="s">
        <v>2</v>
      </c>
      <c r="D35" s="48" t="s">
        <v>3</v>
      </c>
      <c r="E35" s="48" t="s">
        <v>4</v>
      </c>
      <c r="F35" s="48" t="s">
        <v>5</v>
      </c>
      <c r="G35" s="48" t="s">
        <v>6</v>
      </c>
      <c r="H35" s="48" t="s">
        <v>7</v>
      </c>
      <c r="I35" s="48" t="s">
        <v>8</v>
      </c>
      <c r="J35" s="48" t="s">
        <v>9</v>
      </c>
      <c r="K35" s="48" t="s">
        <v>10</v>
      </c>
    </row>
    <row r="36" spans="1:11" ht="15" thickBot="1" x14ac:dyDescent="0.4">
      <c r="A36" s="2"/>
      <c r="B36" s="3" t="s">
        <v>231</v>
      </c>
      <c r="C36" s="3" t="s">
        <v>232</v>
      </c>
      <c r="D36" s="3" t="s">
        <v>16</v>
      </c>
      <c r="E36" s="3" t="s">
        <v>30</v>
      </c>
      <c r="F36" s="5" t="s">
        <v>233</v>
      </c>
      <c r="G36" s="3" t="s">
        <v>19</v>
      </c>
      <c r="H36" s="3" t="s">
        <v>20</v>
      </c>
      <c r="I36" s="3">
        <v>880</v>
      </c>
      <c r="J36" s="49">
        <v>20</v>
      </c>
      <c r="K36" s="50">
        <f>I36*J36</f>
        <v>17600</v>
      </c>
    </row>
    <row r="37" spans="1:11" ht="15" thickBot="1" x14ac:dyDescent="0.4">
      <c r="A37" s="2"/>
      <c r="B37" s="3" t="s">
        <v>231</v>
      </c>
      <c r="C37" s="3" t="s">
        <v>234</v>
      </c>
      <c r="D37" s="3" t="s">
        <v>16</v>
      </c>
      <c r="E37" s="3" t="s">
        <v>30</v>
      </c>
      <c r="F37" s="5" t="s">
        <v>233</v>
      </c>
      <c r="G37" s="3" t="s">
        <v>19</v>
      </c>
      <c r="H37" s="3" t="s">
        <v>20</v>
      </c>
      <c r="I37" s="3">
        <v>880</v>
      </c>
      <c r="J37" s="49">
        <v>20</v>
      </c>
      <c r="K37" s="50">
        <f t="shared" ref="K37:K43" si="2">I37*J37</f>
        <v>17600</v>
      </c>
    </row>
    <row r="38" spans="1:11" ht="15" thickBot="1" x14ac:dyDescent="0.4">
      <c r="A38" s="2"/>
      <c r="B38" s="3" t="s">
        <v>231</v>
      </c>
      <c r="C38" s="3" t="s">
        <v>235</v>
      </c>
      <c r="D38" s="3" t="s">
        <v>16</v>
      </c>
      <c r="E38" s="3" t="s">
        <v>30</v>
      </c>
      <c r="F38" s="5" t="s">
        <v>236</v>
      </c>
      <c r="G38" s="3" t="s">
        <v>19</v>
      </c>
      <c r="H38" s="3" t="s">
        <v>20</v>
      </c>
      <c r="I38" s="3">
        <v>1565</v>
      </c>
      <c r="J38" s="49">
        <v>20</v>
      </c>
      <c r="K38" s="50">
        <f t="shared" si="2"/>
        <v>31300</v>
      </c>
    </row>
    <row r="39" spans="1:11" ht="15" thickBot="1" x14ac:dyDescent="0.4">
      <c r="A39" s="2"/>
      <c r="B39" s="3" t="s">
        <v>231</v>
      </c>
      <c r="C39" s="3" t="s">
        <v>237</v>
      </c>
      <c r="D39" s="3" t="s">
        <v>16</v>
      </c>
      <c r="E39" s="3" t="s">
        <v>30</v>
      </c>
      <c r="F39" s="5" t="s">
        <v>236</v>
      </c>
      <c r="G39" s="3" t="s">
        <v>19</v>
      </c>
      <c r="H39" s="3" t="s">
        <v>20</v>
      </c>
      <c r="I39" s="3">
        <v>1565</v>
      </c>
      <c r="J39" s="49">
        <v>20</v>
      </c>
      <c r="K39" s="50">
        <f t="shared" si="2"/>
        <v>31300</v>
      </c>
    </row>
    <row r="40" spans="1:11" ht="15" thickBot="1" x14ac:dyDescent="0.4">
      <c r="A40" s="2"/>
      <c r="B40" s="3" t="s">
        <v>231</v>
      </c>
      <c r="C40" s="3" t="s">
        <v>238</v>
      </c>
      <c r="D40" s="3" t="s">
        <v>16</v>
      </c>
      <c r="E40" s="3" t="s">
        <v>30</v>
      </c>
      <c r="F40" s="5" t="s">
        <v>239</v>
      </c>
      <c r="G40" s="3" t="s">
        <v>19</v>
      </c>
      <c r="H40" s="3" t="s">
        <v>20</v>
      </c>
      <c r="I40" s="3">
        <v>1170</v>
      </c>
      <c r="J40" s="49">
        <v>20</v>
      </c>
      <c r="K40" s="50">
        <f t="shared" si="2"/>
        <v>23400</v>
      </c>
    </row>
    <row r="41" spans="1:11" ht="15" thickBot="1" x14ac:dyDescent="0.4">
      <c r="A41" s="2"/>
      <c r="B41" s="3" t="s">
        <v>231</v>
      </c>
      <c r="C41" s="3" t="s">
        <v>240</v>
      </c>
      <c r="D41" s="3" t="s">
        <v>16</v>
      </c>
      <c r="E41" s="3" t="s">
        <v>30</v>
      </c>
      <c r="F41" s="5" t="s">
        <v>239</v>
      </c>
      <c r="G41" s="3" t="s">
        <v>19</v>
      </c>
      <c r="H41" s="3" t="s">
        <v>20</v>
      </c>
      <c r="I41" s="3">
        <v>1170</v>
      </c>
      <c r="J41" s="49">
        <v>20</v>
      </c>
      <c r="K41" s="50">
        <f t="shared" si="2"/>
        <v>23400</v>
      </c>
    </row>
    <row r="42" spans="1:11" ht="15" thickBot="1" x14ac:dyDescent="0.4">
      <c r="A42" s="2"/>
      <c r="B42" s="3" t="s">
        <v>231</v>
      </c>
      <c r="C42" s="3" t="s">
        <v>241</v>
      </c>
      <c r="D42" s="3" t="s">
        <v>16</v>
      </c>
      <c r="E42" s="3" t="s">
        <v>30</v>
      </c>
      <c r="F42" s="5" t="s">
        <v>242</v>
      </c>
      <c r="G42" s="3" t="s">
        <v>19</v>
      </c>
      <c r="H42" s="3" t="s">
        <v>20</v>
      </c>
      <c r="I42" s="3">
        <v>1253</v>
      </c>
      <c r="J42" s="49">
        <v>20</v>
      </c>
      <c r="K42" s="50">
        <f t="shared" si="2"/>
        <v>25060</v>
      </c>
    </row>
    <row r="43" spans="1:11" ht="15" thickBot="1" x14ac:dyDescent="0.4">
      <c r="A43" s="2"/>
      <c r="B43" s="3" t="s">
        <v>231</v>
      </c>
      <c r="C43" s="3" t="s">
        <v>243</v>
      </c>
      <c r="D43" s="3" t="s">
        <v>16</v>
      </c>
      <c r="E43" s="3" t="s">
        <v>30</v>
      </c>
      <c r="F43" s="5" t="s">
        <v>242</v>
      </c>
      <c r="G43" s="3" t="s">
        <v>19</v>
      </c>
      <c r="H43" s="3" t="s">
        <v>20</v>
      </c>
      <c r="I43" s="3">
        <v>1253</v>
      </c>
      <c r="J43" s="49">
        <v>20</v>
      </c>
      <c r="K43" s="50">
        <f t="shared" si="2"/>
        <v>25060</v>
      </c>
    </row>
    <row r="44" spans="1:11" x14ac:dyDescent="0.35">
      <c r="K44" s="51">
        <f>SUM(K36:K43)</f>
        <v>194720</v>
      </c>
    </row>
    <row r="45" spans="1:11" ht="15" thickBot="1" x14ac:dyDescent="0.4"/>
    <row r="46" spans="1:11" x14ac:dyDescent="0.35">
      <c r="B46" s="47" t="s">
        <v>6</v>
      </c>
      <c r="C46" s="47" t="s">
        <v>7</v>
      </c>
      <c r="D46" s="47" t="s">
        <v>3</v>
      </c>
      <c r="E46" s="53" t="s">
        <v>4</v>
      </c>
      <c r="F46" s="53" t="s">
        <v>5</v>
      </c>
      <c r="G46" s="53" t="s">
        <v>8</v>
      </c>
      <c r="H46" s="53" t="s">
        <v>9</v>
      </c>
      <c r="I46" s="53" t="s">
        <v>10</v>
      </c>
    </row>
    <row r="47" spans="1:11" x14ac:dyDescent="0.35">
      <c r="B47" s="39" t="s">
        <v>19</v>
      </c>
      <c r="C47" s="39" t="s">
        <v>20</v>
      </c>
      <c r="D47" s="41" t="s">
        <v>16</v>
      </c>
      <c r="E47" s="3" t="s">
        <v>30</v>
      </c>
      <c r="F47" s="5" t="s">
        <v>233</v>
      </c>
      <c r="G47" s="3">
        <v>880</v>
      </c>
      <c r="H47" s="54">
        <v>20</v>
      </c>
      <c r="I47" s="55">
        <f>G47*H47</f>
        <v>17600</v>
      </c>
    </row>
    <row r="48" spans="1:11" x14ac:dyDescent="0.35">
      <c r="B48" s="40"/>
      <c r="C48" s="40"/>
      <c r="D48" s="42"/>
      <c r="E48" s="3" t="s">
        <v>30</v>
      </c>
      <c r="F48" s="5" t="s">
        <v>233</v>
      </c>
      <c r="G48" s="3">
        <v>880</v>
      </c>
      <c r="H48" s="54">
        <v>20</v>
      </c>
      <c r="I48" s="55">
        <f t="shared" ref="I48:I55" si="3">G48*H48</f>
        <v>17600</v>
      </c>
    </row>
    <row r="49" spans="2:9" x14ac:dyDescent="0.35">
      <c r="B49" s="40"/>
      <c r="C49" s="40"/>
      <c r="D49" s="42"/>
      <c r="E49" s="3" t="s">
        <v>30</v>
      </c>
      <c r="F49" s="5" t="s">
        <v>233</v>
      </c>
      <c r="G49" s="3">
        <v>880</v>
      </c>
      <c r="H49" s="54">
        <v>20</v>
      </c>
      <c r="I49" s="55">
        <f t="shared" si="3"/>
        <v>17600</v>
      </c>
    </row>
    <row r="50" spans="2:9" x14ac:dyDescent="0.35">
      <c r="B50" s="40"/>
      <c r="C50" s="40"/>
      <c r="D50" s="42"/>
      <c r="E50" s="3" t="s">
        <v>30</v>
      </c>
      <c r="F50" s="5" t="s">
        <v>233</v>
      </c>
      <c r="G50" s="3">
        <v>880</v>
      </c>
      <c r="H50" s="54">
        <v>20</v>
      </c>
      <c r="I50" s="55">
        <f t="shared" si="3"/>
        <v>17600</v>
      </c>
    </row>
    <row r="51" spans="2:9" x14ac:dyDescent="0.35">
      <c r="B51" s="40"/>
      <c r="C51" s="40"/>
      <c r="D51" s="42"/>
      <c r="E51" s="3" t="s">
        <v>30</v>
      </c>
      <c r="F51" s="5" t="s">
        <v>233</v>
      </c>
      <c r="G51" s="3">
        <v>880</v>
      </c>
      <c r="H51" s="54">
        <v>20</v>
      </c>
      <c r="I51" s="55">
        <f t="shared" si="3"/>
        <v>17600</v>
      </c>
    </row>
    <row r="52" spans="2:9" x14ac:dyDescent="0.35">
      <c r="B52" s="40"/>
      <c r="C52" s="40"/>
      <c r="D52" s="42"/>
      <c r="E52" s="3" t="s">
        <v>30</v>
      </c>
      <c r="F52" s="5" t="s">
        <v>233</v>
      </c>
      <c r="G52" s="3">
        <v>880</v>
      </c>
      <c r="H52" s="54">
        <v>20</v>
      </c>
      <c r="I52" s="55">
        <f t="shared" si="3"/>
        <v>17600</v>
      </c>
    </row>
    <row r="53" spans="2:9" x14ac:dyDescent="0.35">
      <c r="B53" s="40"/>
      <c r="C53" s="40"/>
      <c r="D53" s="42"/>
      <c r="E53" s="3" t="s">
        <v>30</v>
      </c>
      <c r="F53" s="5" t="s">
        <v>233</v>
      </c>
      <c r="G53" s="3">
        <v>880</v>
      </c>
      <c r="H53" s="54">
        <v>20</v>
      </c>
      <c r="I53" s="55">
        <f t="shared" si="3"/>
        <v>17600</v>
      </c>
    </row>
    <row r="54" spans="2:9" x14ac:dyDescent="0.35">
      <c r="B54" s="40"/>
      <c r="C54" s="40"/>
      <c r="D54" s="42"/>
      <c r="E54" s="3" t="s">
        <v>30</v>
      </c>
      <c r="F54" s="5" t="s">
        <v>233</v>
      </c>
      <c r="G54" s="3">
        <v>880</v>
      </c>
      <c r="H54" s="54">
        <v>20</v>
      </c>
      <c r="I54" s="55">
        <f t="shared" si="3"/>
        <v>17600</v>
      </c>
    </row>
    <row r="55" spans="2:9" x14ac:dyDescent="0.35">
      <c r="B55" s="40"/>
      <c r="C55" s="40"/>
      <c r="D55" s="42"/>
      <c r="E55" s="5" t="s">
        <v>233</v>
      </c>
      <c r="F55" s="5" t="s">
        <v>239</v>
      </c>
      <c r="G55" s="56">
        <v>597</v>
      </c>
      <c r="H55" s="54">
        <v>22</v>
      </c>
      <c r="I55" s="55">
        <f t="shared" si="3"/>
        <v>13134</v>
      </c>
    </row>
    <row r="56" spans="2:9" x14ac:dyDescent="0.35">
      <c r="B56" s="40"/>
      <c r="C56" s="40"/>
      <c r="D56" s="42"/>
      <c r="E56" s="5" t="s">
        <v>233</v>
      </c>
      <c r="F56" s="5" t="s">
        <v>239</v>
      </c>
      <c r="G56" s="56">
        <v>597</v>
      </c>
      <c r="H56" s="54">
        <v>22</v>
      </c>
      <c r="I56" s="55">
        <f t="shared" ref="I56:I61" si="4">G56*H56</f>
        <v>13134</v>
      </c>
    </row>
    <row r="57" spans="2:9" x14ac:dyDescent="0.35">
      <c r="B57" s="40"/>
      <c r="C57" s="40"/>
      <c r="D57" s="42"/>
      <c r="E57" s="5" t="s">
        <v>233</v>
      </c>
      <c r="F57" s="5" t="s">
        <v>239</v>
      </c>
      <c r="G57" s="56">
        <v>597</v>
      </c>
      <c r="H57" s="54">
        <v>22</v>
      </c>
      <c r="I57" s="55">
        <f t="shared" si="4"/>
        <v>13134</v>
      </c>
    </row>
    <row r="58" spans="2:9" x14ac:dyDescent="0.35">
      <c r="B58" s="40"/>
      <c r="C58" s="40"/>
      <c r="D58" s="42"/>
      <c r="E58" s="5" t="s">
        <v>233</v>
      </c>
      <c r="F58" s="5" t="s">
        <v>239</v>
      </c>
      <c r="G58" s="56">
        <v>597</v>
      </c>
      <c r="H58" s="54">
        <v>22</v>
      </c>
      <c r="I58" s="55">
        <f t="shared" si="4"/>
        <v>13134</v>
      </c>
    </row>
    <row r="59" spans="2:9" x14ac:dyDescent="0.35">
      <c r="B59" s="40"/>
      <c r="C59" s="40"/>
      <c r="D59" s="42"/>
      <c r="E59" s="5" t="s">
        <v>233</v>
      </c>
      <c r="F59" s="5" t="s">
        <v>239</v>
      </c>
      <c r="G59" s="56">
        <v>597</v>
      </c>
      <c r="H59" s="54">
        <v>22</v>
      </c>
      <c r="I59" s="55">
        <f t="shared" si="4"/>
        <v>13134</v>
      </c>
    </row>
    <row r="60" spans="2:9" x14ac:dyDescent="0.35">
      <c r="B60" s="40"/>
      <c r="C60" s="40"/>
      <c r="D60" s="42"/>
      <c r="E60" s="5" t="s">
        <v>233</v>
      </c>
      <c r="F60" s="5" t="s">
        <v>239</v>
      </c>
      <c r="G60" s="56">
        <v>597</v>
      </c>
      <c r="H60" s="54">
        <v>22</v>
      </c>
      <c r="I60" s="55">
        <f t="shared" si="4"/>
        <v>13134</v>
      </c>
    </row>
    <row r="61" spans="2:9" x14ac:dyDescent="0.35">
      <c r="B61" s="40"/>
      <c r="C61" s="40"/>
      <c r="D61" s="42"/>
      <c r="E61" s="5" t="s">
        <v>239</v>
      </c>
      <c r="F61" s="5" t="s">
        <v>242</v>
      </c>
      <c r="G61" s="56">
        <v>252</v>
      </c>
      <c r="H61" s="54">
        <v>28</v>
      </c>
      <c r="I61" s="55">
        <f t="shared" si="4"/>
        <v>7056</v>
      </c>
    </row>
    <row r="62" spans="2:9" x14ac:dyDescent="0.35">
      <c r="B62" s="40"/>
      <c r="C62" s="40"/>
      <c r="D62" s="42"/>
      <c r="E62" s="5" t="s">
        <v>239</v>
      </c>
      <c r="F62" s="5" t="s">
        <v>242</v>
      </c>
      <c r="G62" s="56">
        <v>252</v>
      </c>
      <c r="H62" s="54">
        <v>28</v>
      </c>
      <c r="I62" s="55">
        <f t="shared" ref="I62:I66" si="5">G62*H62</f>
        <v>7056</v>
      </c>
    </row>
    <row r="63" spans="2:9" x14ac:dyDescent="0.35">
      <c r="B63" s="40"/>
      <c r="C63" s="40"/>
      <c r="D63" s="42"/>
      <c r="E63" s="5" t="s">
        <v>239</v>
      </c>
      <c r="F63" s="5" t="s">
        <v>242</v>
      </c>
      <c r="G63" s="56">
        <v>252</v>
      </c>
      <c r="H63" s="54">
        <v>28</v>
      </c>
      <c r="I63" s="55">
        <f t="shared" si="5"/>
        <v>7056</v>
      </c>
    </row>
    <row r="64" spans="2:9" x14ac:dyDescent="0.35">
      <c r="B64" s="40"/>
      <c r="C64" s="40"/>
      <c r="D64" s="42"/>
      <c r="E64" s="5" t="s">
        <v>239</v>
      </c>
      <c r="F64" s="5" t="s">
        <v>242</v>
      </c>
      <c r="G64" s="56">
        <v>252</v>
      </c>
      <c r="H64" s="54">
        <v>28</v>
      </c>
      <c r="I64" s="55">
        <f t="shared" si="5"/>
        <v>7056</v>
      </c>
    </row>
    <row r="65" spans="2:9" x14ac:dyDescent="0.35">
      <c r="B65" s="40"/>
      <c r="C65" s="40"/>
      <c r="D65" s="42"/>
      <c r="E65" s="5" t="s">
        <v>242</v>
      </c>
      <c r="F65" s="5" t="s">
        <v>236</v>
      </c>
      <c r="G65" s="56">
        <v>376</v>
      </c>
      <c r="H65" s="54">
        <v>45</v>
      </c>
      <c r="I65" s="57">
        <f t="shared" si="5"/>
        <v>16920</v>
      </c>
    </row>
    <row r="66" spans="2:9" x14ac:dyDescent="0.35">
      <c r="B66" s="40"/>
      <c r="C66" s="40"/>
      <c r="D66" s="42"/>
      <c r="E66" s="5" t="s">
        <v>242</v>
      </c>
      <c r="F66" s="5" t="s">
        <v>236</v>
      </c>
      <c r="G66" s="56">
        <v>376</v>
      </c>
      <c r="H66" s="54">
        <v>45</v>
      </c>
      <c r="I66" s="57">
        <f t="shared" si="5"/>
        <v>16920</v>
      </c>
    </row>
    <row r="67" spans="2:9" x14ac:dyDescent="0.35">
      <c r="I67" s="52">
        <f>SUM(I47:I66)</f>
        <v>281668</v>
      </c>
    </row>
  </sheetData>
  <autoFilter ref="A1:L9" xr:uid="{75AB5A87-4685-4D46-AA3F-82672F0F5002}"/>
  <mergeCells count="6">
    <mergeCell ref="B16:B31"/>
    <mergeCell ref="C16:C31"/>
    <mergeCell ref="D16:D31"/>
    <mergeCell ref="B47:B66"/>
    <mergeCell ref="C47:C66"/>
    <mergeCell ref="D47:D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 41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2026-10-08T16:23:52Z</dcterms:created>
  <dcterms:modified xsi:type="dcterms:W3CDTF">2026-10-12T18:21:38Z</dcterms:modified>
</cp:coreProperties>
</file>