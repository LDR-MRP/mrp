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na Guerrero\Downloads\"/>
    </mc:Choice>
  </mc:AlternateContent>
  <xr:revisionPtr revIDLastSave="0" documentId="8_{3B0575DA-738A-4AC4-BCEF-BEA368C8A033}" xr6:coauthVersionLast="47" xr6:coauthVersionMax="47" xr10:uidLastSave="{00000000-0000-0000-0000-000000000000}"/>
  <bookViews>
    <workbookView xWindow="-110" yWindow="-110" windowWidth="19420" windowHeight="10300" xr2:uid="{3C694B70-EBE1-4431-8E17-5AD6CFA114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1" l="1"/>
  <c r="J3" i="1"/>
  <c r="J2" i="1"/>
  <c r="J5" i="1" s="1"/>
</calcChain>
</file>

<file path=xl/sharedStrings.xml><?xml version="1.0" encoding="utf-8"?>
<sst xmlns="http://schemas.openxmlformats.org/spreadsheetml/2006/main" count="31" uniqueCount="28">
  <si>
    <t>DISTRIBUIDOR</t>
  </si>
  <si>
    <t>VIN</t>
  </si>
  <si>
    <t>MODELO</t>
  </si>
  <si>
    <t>ORIGEN</t>
  </si>
  <si>
    <t>DESTINO</t>
  </si>
  <si>
    <t>TIPO DE SERVICIO</t>
  </si>
  <si>
    <t>TRANSPORTISTA</t>
  </si>
  <si>
    <t>Km2</t>
  </si>
  <si>
    <t>COSTO X KM</t>
  </si>
  <si>
    <t>COSTO TOTAL</t>
  </si>
  <si>
    <t>AUTOS Y CAMIONES ASIA CENTRAL</t>
  </si>
  <si>
    <t>3LDA2A2F4TA002598</t>
  </si>
  <si>
    <t>VIEW CS2 Pasajeros</t>
  </si>
  <si>
    <t>PLANTA</t>
  </si>
  <si>
    <t>JETOUR GONZALITOS</t>
  </si>
  <si>
    <t>PLATAFORMA</t>
  </si>
  <si>
    <t>CLINICAR</t>
  </si>
  <si>
    <t>LEASING DRIVE RENTAL</t>
  </si>
  <si>
    <t>3LD34B4J6SA001722</t>
  </si>
  <si>
    <t>Galaxy 3256</t>
  </si>
  <si>
    <t>Carr. Costera del Golfo 862</t>
  </si>
  <si>
    <t>FOTON TLALNEPANTLA</t>
  </si>
  <si>
    <t>RODANDO</t>
  </si>
  <si>
    <t>LIVETRANSFER</t>
  </si>
  <si>
    <t>CAMIONES, AUTOBUSES Y TRACTOCAMIONES CATSA</t>
  </si>
  <si>
    <t>3LDA2B2F7TA000446</t>
  </si>
  <si>
    <t>HiVan Panel</t>
  </si>
  <si>
    <t xml:space="preserve">Alesso Cummins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</si>
</sst>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rgb="FF1A1A1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7376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4" fontId="6" fillId="0" borderId="2" xfId="1" applyFont="1" applyFill="1" applyBorder="1" applyAlignment="1">
      <alignment horizontal="center" vertical="center"/>
    </xf>
    <xf numFmtId="44" fontId="5" fillId="0" borderId="2" xfId="1" applyFont="1" applyFill="1" applyBorder="1" applyAlignment="1">
      <alignment horizontal="center" vertical="center"/>
    </xf>
    <xf numFmtId="0" fontId="3" fillId="0" borderId="2" xfId="2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44" fontId="2" fillId="3" borderId="2" xfId="0" applyNumberFormat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GJ8sToby3sL76LqQ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76E2-B795-46D5-86BF-7C08AD578B8C}">
  <dimension ref="A1:J5"/>
  <sheetViews>
    <sheetView tabSelected="1" workbookViewId="0">
      <selection activeCell="D7" sqref="D7"/>
    </sheetView>
  </sheetViews>
  <sheetFormatPr baseColWidth="10" defaultRowHeight="14.5" x14ac:dyDescent="0.35"/>
  <cols>
    <col min="1" max="1" width="40.90625" bestFit="1" customWidth="1"/>
    <col min="2" max="2" width="16.81640625" bestFit="1" customWidth="1"/>
    <col min="3" max="3" width="15.6328125" bestFit="1" customWidth="1"/>
    <col min="4" max="4" width="22.7265625" bestFit="1" customWidth="1"/>
    <col min="5" max="5" width="18.08984375" bestFit="1" customWidth="1"/>
    <col min="6" max="6" width="14.453125" bestFit="1" customWidth="1"/>
    <col min="10" max="10" width="11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3" t="s">
        <v>13</v>
      </c>
      <c r="E2" s="3" t="s">
        <v>14</v>
      </c>
      <c r="F2" s="2" t="s">
        <v>15</v>
      </c>
      <c r="G2" s="2" t="s">
        <v>16</v>
      </c>
      <c r="H2" s="3">
        <v>661</v>
      </c>
      <c r="I2" s="4">
        <v>45</v>
      </c>
      <c r="J2" s="5">
        <f>H2*I2</f>
        <v>29745</v>
      </c>
    </row>
    <row r="3" spans="1:10" x14ac:dyDescent="0.35">
      <c r="A3" s="2" t="s">
        <v>17</v>
      </c>
      <c r="B3" s="2" t="s">
        <v>18</v>
      </c>
      <c r="C3" s="2" t="s">
        <v>19</v>
      </c>
      <c r="D3" s="6" t="s">
        <v>20</v>
      </c>
      <c r="E3" s="2" t="s">
        <v>21</v>
      </c>
      <c r="F3" s="2" t="s">
        <v>22</v>
      </c>
      <c r="G3" s="2" t="s">
        <v>23</v>
      </c>
      <c r="H3" s="3">
        <v>416</v>
      </c>
      <c r="I3" s="5">
        <v>25</v>
      </c>
      <c r="J3" s="5">
        <f t="shared" ref="J3:J4" si="0">H3*I3</f>
        <v>10400</v>
      </c>
    </row>
    <row r="4" spans="1:10" ht="39" x14ac:dyDescent="0.35">
      <c r="A4" s="2" t="s">
        <v>24</v>
      </c>
      <c r="B4" s="2" t="s">
        <v>25</v>
      </c>
      <c r="C4" s="2" t="s">
        <v>26</v>
      </c>
      <c r="D4" s="7" t="s">
        <v>27</v>
      </c>
      <c r="E4" s="2" t="s">
        <v>13</v>
      </c>
      <c r="F4" s="2" t="s">
        <v>15</v>
      </c>
      <c r="G4" s="2" t="s">
        <v>23</v>
      </c>
      <c r="H4" s="3">
        <v>191</v>
      </c>
      <c r="I4" s="5">
        <v>45</v>
      </c>
      <c r="J4" s="5">
        <f t="shared" si="0"/>
        <v>8595</v>
      </c>
    </row>
    <row r="5" spans="1:10" x14ac:dyDescent="0.35">
      <c r="J5" s="8">
        <f>SUM(J2:J4)</f>
        <v>48740</v>
      </c>
    </row>
  </sheetData>
  <hyperlinks>
    <hyperlink ref="D3" r:id="rId1" display="https://maps.app.goo.gl/GJ8sToby3sL76LqQ8" xr:uid="{84468981-ADB2-418C-A3FB-483340B3A0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365</dc:creator>
  <cp:lastModifiedBy>Microsoft 365</cp:lastModifiedBy>
  <dcterms:created xsi:type="dcterms:W3CDTF">2026-10-26T19:33:37Z</dcterms:created>
  <dcterms:modified xsi:type="dcterms:W3CDTF">2026-10-26T19:34:42Z</dcterms:modified>
</cp:coreProperties>
</file>